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yush Jagtap\OneDrive\Documents\Projects\Financial Analysis Projects\"/>
    </mc:Choice>
  </mc:AlternateContent>
  <xr:revisionPtr revIDLastSave="0" documentId="13_ncr:1_{88FD64E7-F479-4BA8-B34F-4E7D89D8C711}" xr6:coauthVersionLast="47" xr6:coauthVersionMax="47" xr10:uidLastSave="{00000000-0000-0000-0000-000000000000}"/>
  <bookViews>
    <workbookView xWindow="-110" yWindow="-110" windowWidth="19420" windowHeight="12220" tabRatio="661" firstSheet="4" xr2:uid="{00000000-000D-0000-FFFF-FFFF00000000}"/>
  </bookViews>
  <sheets>
    <sheet name="COVER PAGE" sheetId="1" r:id="rId1"/>
    <sheet name="METHODOLOGY" sheetId="2" r:id="rId2"/>
    <sheet name="Financial Statement" sheetId="3" r:id="rId3"/>
    <sheet name="Common Size Financial Statement" sheetId="4" r:id="rId4"/>
    <sheet name="Ratios Analysis" sheetId="5" r:id="rId5"/>
    <sheet name="Ratio Analysis &amp; Interpretation" sheetId="8" r:id="rId6"/>
    <sheet name="Unilever Financial Performance " sheetId="9" r:id="rId7"/>
  </sheets>
  <definedNames>
    <definedName name="_xlnm.Print_Area" localSheetId="3">'Common Size Financial Statement'!$B$1:$P$48</definedName>
    <definedName name="_xlnm.Print_Area" localSheetId="0">'COVER PAGE'!$A$1:$I$45</definedName>
    <definedName name="_xlnm.Print_Area" localSheetId="2">'Financial Statement'!$A$1:$J$49</definedName>
    <definedName name="_xlnm.Print_Area" localSheetId="1">METHODOLOGY!$A$1:$F$45</definedName>
    <definedName name="_xlnm.Print_Area" localSheetId="5">'Ratio Analysis &amp; Interpretation'!$A$1:$R$45</definedName>
    <definedName name="_xlnm.Print_Area" localSheetId="4">'Ratios Analysis'!$C$6:$BP$75</definedName>
    <definedName name="_xlnm.Print_Area" localSheetId="6">'Unilever Financial Performance '!$A$1:$O$55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22" i="8" l="1"/>
  <c r="J23" i="8"/>
  <c r="J24" i="8"/>
  <c r="J25" i="8"/>
  <c r="AU71" i="5" l="1"/>
  <c r="AS71" i="5"/>
  <c r="AU70" i="5"/>
  <c r="AS70" i="5"/>
  <c r="AU69" i="5"/>
  <c r="AS69" i="5"/>
  <c r="AM69" i="5"/>
  <c r="BD58" i="5"/>
  <c r="BB58" i="5"/>
  <c r="BD57" i="5"/>
  <c r="BB57" i="5"/>
  <c r="AU57" i="5"/>
  <c r="AS57" i="5"/>
  <c r="BD56" i="5"/>
  <c r="BB56" i="5"/>
  <c r="AG47" i="5"/>
  <c r="AE47" i="5"/>
  <c r="BF46" i="5"/>
  <c r="BD46" i="5"/>
  <c r="BD49" i="5" s="1"/>
  <c r="AU46" i="5"/>
  <c r="AS46" i="5"/>
  <c r="L46" i="5"/>
  <c r="J46" i="5"/>
  <c r="BF45" i="5"/>
  <c r="AU45" i="5"/>
  <c r="AS45" i="5"/>
  <c r="BF44" i="5"/>
  <c r="BD44" i="5"/>
  <c r="AX44" i="5"/>
  <c r="AI35" i="5"/>
  <c r="AI29" i="5" s="1"/>
  <c r="AH35" i="5"/>
  <c r="AG29" i="5" s="1"/>
  <c r="AU33" i="5"/>
  <c r="AU32" i="5"/>
  <c r="AS32" i="5"/>
  <c r="AI28" i="5"/>
  <c r="AG28" i="5"/>
  <c r="AU24" i="5"/>
  <c r="AS24" i="5"/>
  <c r="X16" i="5"/>
  <c r="AI16" i="5" s="1"/>
  <c r="V16" i="5"/>
  <c r="AG16" i="5" s="1"/>
  <c r="L16" i="5"/>
  <c r="J16" i="5"/>
  <c r="AS10" i="5"/>
  <c r="AS33" i="5" s="1"/>
  <c r="N47" i="4"/>
  <c r="L47" i="4"/>
  <c r="N42" i="4"/>
  <c r="L42" i="4"/>
  <c r="N32" i="4"/>
  <c r="L32" i="4"/>
  <c r="P24" i="4"/>
  <c r="N23" i="4"/>
  <c r="X28" i="5" s="1"/>
  <c r="L23" i="4"/>
  <c r="V28" i="5" s="1"/>
  <c r="F19" i="4"/>
  <c r="D19" i="4"/>
  <c r="G19" i="4" s="1"/>
  <c r="F17" i="4"/>
  <c r="D17" i="4"/>
  <c r="F16" i="4"/>
  <c r="D16" i="4"/>
  <c r="N15" i="4"/>
  <c r="L15" i="4"/>
  <c r="F15" i="4"/>
  <c r="D15" i="4"/>
  <c r="F14" i="4"/>
  <c r="D14" i="4"/>
  <c r="E11" i="4"/>
  <c r="F11" i="4" s="1"/>
  <c r="C11" i="4"/>
  <c r="D11" i="4" s="1"/>
  <c r="F10" i="4"/>
  <c r="D10" i="4"/>
  <c r="F9" i="4"/>
  <c r="D9" i="4"/>
  <c r="F8" i="4"/>
  <c r="E7" i="4"/>
  <c r="L15" i="5" s="1"/>
  <c r="C7" i="4"/>
  <c r="F6" i="4"/>
  <c r="D6" i="4"/>
  <c r="G5" i="4"/>
  <c r="J47" i="3"/>
  <c r="I47" i="3"/>
  <c r="J42" i="3"/>
  <c r="I42" i="3"/>
  <c r="J32" i="3"/>
  <c r="I32" i="3"/>
  <c r="J23" i="3"/>
  <c r="I23" i="3"/>
  <c r="J15" i="3"/>
  <c r="I15" i="3"/>
  <c r="D11" i="3"/>
  <c r="D12" i="3" s="1"/>
  <c r="C11" i="3"/>
  <c r="C12" i="3" s="1"/>
  <c r="D7" i="3"/>
  <c r="C7" i="3"/>
  <c r="C13" i="3" s="1"/>
  <c r="C18" i="3" s="1"/>
  <c r="C20" i="3" s="1"/>
  <c r="Q10" i="8" l="1"/>
  <c r="AU35" i="5"/>
  <c r="AG31" i="5"/>
  <c r="AI31" i="5"/>
  <c r="AS74" i="5"/>
  <c r="BB71" i="5" s="1"/>
  <c r="BD70" i="5" s="1"/>
  <c r="AS35" i="5"/>
  <c r="L18" i="5"/>
  <c r="G9" i="4"/>
  <c r="I24" i="3"/>
  <c r="G17" i="4"/>
  <c r="J24" i="3"/>
  <c r="AS49" i="5"/>
  <c r="L24" i="4"/>
  <c r="M21" i="4" s="1"/>
  <c r="G6" i="4"/>
  <c r="BB61" i="5"/>
  <c r="BN57" i="5" s="1"/>
  <c r="G10" i="4"/>
  <c r="G16" i="4"/>
  <c r="I43" i="3"/>
  <c r="I48" i="3" s="1"/>
  <c r="J43" i="3"/>
  <c r="J48" i="3" s="1"/>
  <c r="C12" i="4"/>
  <c r="D12" i="4" s="1"/>
  <c r="AU74" i="5"/>
  <c r="E12" i="4"/>
  <c r="F12" i="4" s="1"/>
  <c r="L43" i="4"/>
  <c r="L48" i="4" s="1"/>
  <c r="G14" i="4"/>
  <c r="BD61" i="5"/>
  <c r="D13" i="3"/>
  <c r="D18" i="3" s="1"/>
  <c r="D20" i="3" s="1"/>
  <c r="J28" i="5"/>
  <c r="AU49" i="5"/>
  <c r="AS58" i="5"/>
  <c r="AS61" i="5" s="1"/>
  <c r="N24" i="4"/>
  <c r="O18" i="4" s="1"/>
  <c r="L28" i="5"/>
  <c r="BF49" i="5"/>
  <c r="AU58" i="5"/>
  <c r="AU61" i="5" s="1"/>
  <c r="G15" i="4"/>
  <c r="G11" i="4"/>
  <c r="J29" i="5"/>
  <c r="V29" i="5" s="1"/>
  <c r="V31" i="5" s="1"/>
  <c r="D7" i="4"/>
  <c r="X29" i="5"/>
  <c r="X31" i="5" s="1"/>
  <c r="F7" i="4"/>
  <c r="L47" i="5"/>
  <c r="L49" i="5" s="1"/>
  <c r="L29" i="5"/>
  <c r="N43" i="4"/>
  <c r="J15" i="5"/>
  <c r="J18" i="5" s="1"/>
  <c r="J47" i="5"/>
  <c r="J49" i="5" s="1"/>
  <c r="Q22" i="8"/>
  <c r="Q23" i="8" l="1"/>
  <c r="Q6" i="8"/>
  <c r="O10" i="4"/>
  <c r="M23" i="4"/>
  <c r="AS8" i="5"/>
  <c r="M14" i="4"/>
  <c r="BP10" i="5"/>
  <c r="G7" i="4"/>
  <c r="G12" i="4"/>
  <c r="W47" i="5"/>
  <c r="M12" i="4"/>
  <c r="M16" i="4"/>
  <c r="M11" i="4"/>
  <c r="C13" i="4"/>
  <c r="D13" i="4" s="1"/>
  <c r="O13" i="4"/>
  <c r="O8" i="4"/>
  <c r="M20" i="4"/>
  <c r="O23" i="4"/>
  <c r="BN10" i="5"/>
  <c r="O21" i="4"/>
  <c r="M15" i="4"/>
  <c r="L31" i="5"/>
  <c r="M19" i="4"/>
  <c r="E13" i="4"/>
  <c r="E18" i="4" s="1"/>
  <c r="M10" i="4"/>
  <c r="M18" i="4"/>
  <c r="M22" i="4"/>
  <c r="M8" i="4"/>
  <c r="O16" i="4"/>
  <c r="M13" i="4"/>
  <c r="U46" i="5"/>
  <c r="U47" i="5"/>
  <c r="M9" i="4"/>
  <c r="M17" i="4"/>
  <c r="M47" i="4"/>
  <c r="M42" i="4"/>
  <c r="M32" i="4"/>
  <c r="M43" i="4"/>
  <c r="AU8" i="5"/>
  <c r="O14" i="4"/>
  <c r="O20" i="4"/>
  <c r="O19" i="4"/>
  <c r="O12" i="4"/>
  <c r="O17" i="4"/>
  <c r="O11" i="4"/>
  <c r="O9" i="4"/>
  <c r="O22" i="4"/>
  <c r="O15" i="4"/>
  <c r="W46" i="5"/>
  <c r="J31" i="5"/>
  <c r="N48" i="4"/>
  <c r="O43" i="4" s="1"/>
  <c r="M41" i="4"/>
  <c r="M45" i="4"/>
  <c r="M31" i="4"/>
  <c r="AS44" i="5"/>
  <c r="M29" i="4"/>
  <c r="M33" i="4"/>
  <c r="M28" i="4"/>
  <c r="M46" i="4"/>
  <c r="M40" i="4"/>
  <c r="M39" i="4"/>
  <c r="M30" i="4"/>
  <c r="M44" i="4"/>
  <c r="M38" i="4"/>
  <c r="M34" i="4"/>
  <c r="M37" i="4"/>
  <c r="M36" i="4"/>
  <c r="M35" i="4"/>
  <c r="M27" i="4"/>
  <c r="AE46" i="5" l="1"/>
  <c r="AE49" i="5" s="1"/>
  <c r="X15" i="5"/>
  <c r="X18" i="5" s="1"/>
  <c r="W49" i="5"/>
  <c r="C18" i="4"/>
  <c r="U49" i="5"/>
  <c r="V15" i="5"/>
  <c r="V18" i="5" s="1"/>
  <c r="BN9" i="5"/>
  <c r="BN12" i="5" s="1"/>
  <c r="AG46" i="5"/>
  <c r="AG49" i="5" s="1"/>
  <c r="F13" i="4"/>
  <c r="G13" i="4" s="1"/>
  <c r="BP9" i="5"/>
  <c r="BP12" i="5" s="1"/>
  <c r="P8" i="4" a="1"/>
  <c r="P13" i="4" s="1"/>
  <c r="O41" i="4"/>
  <c r="O27" i="4"/>
  <c r="P27" i="4" s="1"/>
  <c r="O45" i="4"/>
  <c r="O31" i="4"/>
  <c r="P31" i="4" s="1"/>
  <c r="O40" i="4"/>
  <c r="O33" i="4"/>
  <c r="O28" i="4"/>
  <c r="P28" i="4" s="1"/>
  <c r="O44" i="4"/>
  <c r="AU44" i="5"/>
  <c r="O38" i="4"/>
  <c r="O34" i="4"/>
  <c r="O37" i="4"/>
  <c r="O36" i="4"/>
  <c r="O46" i="4"/>
  <c r="O35" i="4"/>
  <c r="O48" i="4"/>
  <c r="P48" i="4" s="1"/>
  <c r="O39" i="4"/>
  <c r="O30" i="4"/>
  <c r="P30" i="4" s="1"/>
  <c r="O29" i="4"/>
  <c r="P29" i="4" s="1"/>
  <c r="O47" i="4"/>
  <c r="O42" i="4"/>
  <c r="P42" i="4" s="1" a="1"/>
  <c r="O32" i="4"/>
  <c r="P32" i="4" s="1"/>
  <c r="E20" i="4"/>
  <c r="F18" i="4"/>
  <c r="Q24" i="8"/>
  <c r="Q9" i="8" l="1"/>
  <c r="Q7" i="8"/>
  <c r="P8" i="4"/>
  <c r="P9" i="4"/>
  <c r="P10" i="4"/>
  <c r="P11" i="4"/>
  <c r="P12" i="4"/>
  <c r="P18" i="4"/>
  <c r="P14" i="4"/>
  <c r="P16" i="4"/>
  <c r="P21" i="4"/>
  <c r="P17" i="4"/>
  <c r="P19" i="4"/>
  <c r="P22" i="4"/>
  <c r="P15" i="4"/>
  <c r="P20" i="4"/>
  <c r="P23" i="4"/>
  <c r="C20" i="4"/>
  <c r="D18" i="4"/>
  <c r="G18" i="4" s="1"/>
  <c r="P45" i="4" a="1"/>
  <c r="P45" i="4" s="1"/>
  <c r="AI15" i="5"/>
  <c r="AI18" i="5" s="1"/>
  <c r="F20" i="4"/>
  <c r="AU9" i="5"/>
  <c r="AU12" i="5" s="1"/>
  <c r="P43" i="4"/>
  <c r="P42" i="4"/>
  <c r="P34" i="4" a="1"/>
  <c r="P47" i="4" l="1"/>
  <c r="P46" i="4"/>
  <c r="AS9" i="5"/>
  <c r="AS12" i="5" s="1"/>
  <c r="D20" i="4"/>
  <c r="AG15" i="5"/>
  <c r="AG18" i="5" s="1"/>
  <c r="G20" i="4"/>
  <c r="P39" i="4"/>
  <c r="P38" i="4"/>
  <c r="P37" i="4"/>
  <c r="P41" i="4"/>
  <c r="P36" i="4"/>
  <c r="P34" i="4"/>
  <c r="P35" i="4"/>
  <c r="P40" i="4"/>
  <c r="Q8" i="8"/>
</calcChain>
</file>

<file path=xl/sharedStrings.xml><?xml version="1.0" encoding="utf-8"?>
<sst xmlns="http://schemas.openxmlformats.org/spreadsheetml/2006/main" count="399" uniqueCount="276">
  <si>
    <t>FINANCIAL ANALYSIS | FMCG &amp; CONSUMER PRODUCTS</t>
  </si>
  <si>
    <t>Project Overview</t>
  </si>
  <si>
    <t>PROJECT PROFILE</t>
  </si>
  <si>
    <t>PROJECT SCOPE</t>
  </si>
  <si>
    <t>Company</t>
  </si>
  <si>
    <t>Unilever Group</t>
  </si>
  <si>
    <t>Primary Focus</t>
  </si>
  <si>
    <t>Financial statement and ratio analysis</t>
  </si>
  <si>
    <t>Industry</t>
  </si>
  <si>
    <t>FMCG / Consumer Products</t>
  </si>
  <si>
    <t>Analysis Areas</t>
  </si>
  <si>
    <t>Profitability • Efficiency • Working Capital</t>
  </si>
  <si>
    <t>Analysis Period</t>
  </si>
  <si>
    <t>FY2020 – FY2021</t>
  </si>
  <si>
    <t>Risk Areas</t>
  </si>
  <si>
    <t>Liquidity • Solvency • Capital structure</t>
  </si>
  <si>
    <t>Reporting Unit</t>
  </si>
  <si>
    <t>€ million</t>
  </si>
  <si>
    <t>Output</t>
  </si>
  <si>
    <t>Financial performance dashboard</t>
  </si>
  <si>
    <t>ANALYTICAL FRAMEWORK</t>
  </si>
  <si>
    <t>01</t>
  </si>
  <si>
    <t>Financial Statements</t>
  </si>
  <si>
    <t>Income statement and balance sheet review.</t>
  </si>
  <si>
    <t>02</t>
  </si>
  <si>
    <t>Common-Size Analysis</t>
  </si>
  <si>
    <t>Structural analysis of statement composition.</t>
  </si>
  <si>
    <t>03</t>
  </si>
  <si>
    <t>Ratio Analysis</t>
  </si>
  <si>
    <t>Profitability, liquidity, solvency, efficiency and working capital.</t>
  </si>
  <si>
    <t>04</t>
  </si>
  <si>
    <t>Interpretation</t>
  </si>
  <si>
    <t>Year-on-year movement translated into business observations.</t>
  </si>
  <si>
    <t>05</t>
  </si>
  <si>
    <t>Dashboard</t>
  </si>
  <si>
    <t>Visual summary of financial performance and key takeaways.</t>
  </si>
  <si>
    <t>AI-ASSISTED ANALYTICAL WORKFLOW</t>
  </si>
  <si>
    <t>ChatGPT was used as an AI assistant during the project to support research, analytical structuring, financial concept and ratio understanding, interpretation drafting and presentation refinement. The underlying financial data, workbook calculations and final analytical judgement remain the project creator’s work.</t>
  </si>
  <si>
    <t>PROJECT DELIVERABLES</t>
  </si>
  <si>
    <t>✓  Financial Statements</t>
  </si>
  <si>
    <t>✓  Common-Size Financial Statements</t>
  </si>
  <si>
    <t>✓  Ratio Calculations</t>
  </si>
  <si>
    <t>✓  Ratio Interpretation</t>
  </si>
  <si>
    <t>✓  Financial Performance Dashboard</t>
  </si>
  <si>
    <t>Portfolio project | Focus: structured financial analysis, business interpretation and AI-assisted analytical workflow</t>
  </si>
  <si>
    <t>PROJECT OBJECTIVE</t>
  </si>
  <si>
    <t>SCOPE OF ANALYSIS</t>
  </si>
  <si>
    <t>• Consolidated Income Statement and Balance Sheet</t>
  </si>
  <si>
    <t>• Common-size income statement and balance sheet</t>
  </si>
  <si>
    <t>• Profitability ratios and margin analysis</t>
  </si>
  <si>
    <t>• Liquidity and solvency indicators</t>
  </si>
  <si>
    <t>• Efficiency and working-capital ratios</t>
  </si>
  <si>
    <t>• Year-on-year interpretation of movements</t>
  </si>
  <si>
    <t>METHODOLOGY</t>
  </si>
  <si>
    <t>1. Organise the reported financial statement data for FY2020 and FY2021.</t>
  </si>
  <si>
    <t>2. Calculate derived financial statement values using workbook formulas.</t>
  </si>
  <si>
    <t>3. Convert relevant statement items into common-size percentages.</t>
  </si>
  <si>
    <t>4. Calculate financial ratios using linked financial statement figures.</t>
  </si>
  <si>
    <t>5. Compare FY2021 with FY2020 and identify meaningful movements.</t>
  </si>
  <si>
    <t>6. Translate numerical changes into concise business and financial interpretations.</t>
  </si>
  <si>
    <t>7. Present the results through a structured financial-performance dashboard.</t>
  </si>
  <si>
    <t>AI INTEGRATION</t>
  </si>
  <si>
    <t>AI assistant</t>
  </si>
  <si>
    <t>ChatGPT was used alongside Excel to support the analytical workflow.</t>
  </si>
  <si>
    <t>Research support</t>
  </si>
  <si>
    <t>Assisted with financial concepts, ratio definitions and analytical framing.</t>
  </si>
  <si>
    <t>Interpretation support</t>
  </si>
  <si>
    <t>Helped structure concise explanations of year-on-year financial movements.</t>
  </si>
  <si>
    <t>Presentation support</t>
  </si>
  <si>
    <t>Supported professional organisation of the project and dashboard narrative.</t>
  </si>
  <si>
    <t>Human validation</t>
  </si>
  <si>
    <t>Financial figures, workbook calculations, source data and final conclusions were reviewed and retained by the project creator.</t>
  </si>
  <si>
    <t>PROJECT OUTPUT</t>
  </si>
  <si>
    <t>The completed workbook contains the source financial statements, common-size analysis, ratio calculations, ratio interpretation and a financial performance dashboard. The analytical sequence moves from reported numbers → calculated metrics → interpretation → visual summary.</t>
  </si>
  <si>
    <t>Unilever Group Financial Statement 2020 - 2021</t>
  </si>
  <si>
    <t>Consolidated Balance Sheet</t>
  </si>
  <si>
    <t>as at 31 December</t>
  </si>
  <si>
    <t>Consolidated Income Statement</t>
  </si>
  <si>
    <t>for the year ended 31st December</t>
  </si>
  <si>
    <t>Figures in € millions</t>
  </si>
  <si>
    <t>Assets</t>
  </si>
  <si>
    <t>Non-current assets</t>
  </si>
  <si>
    <t>Revenue</t>
  </si>
  <si>
    <t>Goodwill</t>
  </si>
  <si>
    <t>Cost of sales</t>
  </si>
  <si>
    <t>Intangible assets</t>
  </si>
  <si>
    <t>Gross profit</t>
  </si>
  <si>
    <t>Property, plant and equipment</t>
  </si>
  <si>
    <t>Operating expenses</t>
  </si>
  <si>
    <t>Pension asset for funded schemes in surplus</t>
  </si>
  <si>
    <t>Research and development costs</t>
  </si>
  <si>
    <t>Deferred tax assets</t>
  </si>
  <si>
    <t>Selling, general and administrative expenses</t>
  </si>
  <si>
    <t>Financial assets</t>
  </si>
  <si>
    <t>Other operating expenses</t>
  </si>
  <si>
    <t>Other non-current assets</t>
  </si>
  <si>
    <t>Total operating expenses</t>
  </si>
  <si>
    <t>Operating profit (EBIT)</t>
  </si>
  <si>
    <t>Current assets</t>
  </si>
  <si>
    <t>Net finance costs</t>
  </si>
  <si>
    <t>Inventories</t>
  </si>
  <si>
    <t>Share of net profit/(loss) of joint ventures and associates</t>
  </si>
  <si>
    <t>Trade and other current receivables</t>
  </si>
  <si>
    <t>Other income/(loss) from non-current investments and associates</t>
  </si>
  <si>
    <t>Current tax assets</t>
  </si>
  <si>
    <t>Non-underlying item net monetary gain/(loss) arising from hyperinflationary economies</t>
  </si>
  <si>
    <t>Cash and cash equivalents</t>
  </si>
  <si>
    <t>Income before tax</t>
  </si>
  <si>
    <t>Other financial assets</t>
  </si>
  <si>
    <t>Income tax expense</t>
  </si>
  <si>
    <t>Assets held for sale</t>
  </si>
  <si>
    <t>Net Profit</t>
  </si>
  <si>
    <t>Total assets</t>
  </si>
  <si>
    <t>Liabilities</t>
  </si>
  <si>
    <t>Current liabilities</t>
  </si>
  <si>
    <t>Financial liabilities</t>
  </si>
  <si>
    <t>Trade payables and other current liabilities</t>
  </si>
  <si>
    <t>Current tax liabilities</t>
  </si>
  <si>
    <t>Provisions</t>
  </si>
  <si>
    <t>Liabilities held for sale</t>
  </si>
  <si>
    <t>Non-current liabilities</t>
  </si>
  <si>
    <t>Non-current tax liabilities</t>
  </si>
  <si>
    <t>Pensions and post-retirement healthcare liabilities:</t>
  </si>
  <si>
    <t>Funded schemes in deficit</t>
  </si>
  <si>
    <t>Unfunded schemes</t>
  </si>
  <si>
    <t>Deferred tax liabilities</t>
  </si>
  <si>
    <t>Other non-current liabilities</t>
  </si>
  <si>
    <t>Total liabilities</t>
  </si>
  <si>
    <t>Equity</t>
  </si>
  <si>
    <t>Shareholders’ equity</t>
  </si>
  <si>
    <t>Non-controlling interests</t>
  </si>
  <si>
    <t>Total equity</t>
  </si>
  <si>
    <t>Total liabilities and equity</t>
  </si>
  <si>
    <t>Commen Size Income Statement</t>
  </si>
  <si>
    <t>Commen Size Balance Sheet</t>
  </si>
  <si>
    <t>Commen Size</t>
  </si>
  <si>
    <t>Difference in %</t>
  </si>
  <si>
    <t>Commen</t>
  </si>
  <si>
    <t>Difference in</t>
  </si>
  <si>
    <t>Size</t>
  </si>
  <si>
    <t>%</t>
  </si>
  <si>
    <t>Return on Investment</t>
  </si>
  <si>
    <t>Return on Assets (ROA)</t>
  </si>
  <si>
    <t xml:space="preserve">Figures In Million </t>
  </si>
  <si>
    <t>Return on Capital Employed (ROCE)</t>
  </si>
  <si>
    <t xml:space="preserve">Unilever Group Financial ratio </t>
  </si>
  <si>
    <t>2021 :-</t>
  </si>
  <si>
    <t>}</t>
  </si>
  <si>
    <t>Total Assets</t>
  </si>
  <si>
    <t xml:space="preserve">Average Assets </t>
  </si>
  <si>
    <t>2020 :-</t>
  </si>
  <si>
    <t>EBIT</t>
  </si>
  <si>
    <t xml:space="preserve">Profitability Ratio </t>
  </si>
  <si>
    <t>Total Average Assets</t>
  </si>
  <si>
    <t>Capital Employed (Total Assets – Current Liabilities)</t>
  </si>
  <si>
    <t>Gross Profit Margin</t>
  </si>
  <si>
    <t>Operating Margin</t>
  </si>
  <si>
    <t>Net Profit Margin</t>
  </si>
  <si>
    <t xml:space="preserve">Operational efficency of business </t>
  </si>
  <si>
    <t>Net Profit/Total assets</t>
  </si>
  <si>
    <t xml:space="preserve">EBIT/Capital Employed </t>
  </si>
  <si>
    <t xml:space="preserve">Gross Profit </t>
  </si>
  <si>
    <t xml:space="preserve">Operating Profit </t>
  </si>
  <si>
    <t>Return on Equity (ROE)</t>
  </si>
  <si>
    <t xml:space="preserve">Gross Profit Margin </t>
  </si>
  <si>
    <t>Gross Profit/ Revenue</t>
  </si>
  <si>
    <t xml:space="preserve">Operating Profit Margin </t>
  </si>
  <si>
    <t>Operating Profit/ Revenue</t>
  </si>
  <si>
    <t xml:space="preserve">Net Profit Margin </t>
  </si>
  <si>
    <t>Net Profit/ Revenue</t>
  </si>
  <si>
    <t>Average Equity</t>
  </si>
  <si>
    <t xml:space="preserve">Average Equity </t>
  </si>
  <si>
    <t xml:space="preserve">Liquidity ratio </t>
  </si>
  <si>
    <t>Current ratio (Short-term Liq. Position)</t>
  </si>
  <si>
    <t xml:space="preserve">Quick ratio / Acid test ratio </t>
  </si>
  <si>
    <t xml:space="preserve">Payable turnover ratio </t>
  </si>
  <si>
    <t>Net Profit/ Average Equity</t>
  </si>
  <si>
    <t>(Short-term Liq. Position)</t>
  </si>
  <si>
    <t xml:space="preserve">Current Assets </t>
  </si>
  <si>
    <t>Current Assets - Inventory</t>
  </si>
  <si>
    <t>Total suppliers purches / COGS</t>
  </si>
  <si>
    <t>Assets Utilization Ratio</t>
  </si>
  <si>
    <t xml:space="preserve">Current liabilitity </t>
  </si>
  <si>
    <t xml:space="preserve">Average Accounts / Trade payable </t>
  </si>
  <si>
    <t>CA/CL</t>
  </si>
  <si>
    <t xml:space="preserve">Revenue </t>
  </si>
  <si>
    <t>Days Payable Outstanding</t>
  </si>
  <si>
    <t>Trade payable calculation</t>
  </si>
  <si>
    <t xml:space="preserve">Average Total Assets </t>
  </si>
  <si>
    <t>Days Payable Outstanding =</t>
  </si>
  <si>
    <t xml:space="preserve">Revenue / Total Average Assets </t>
  </si>
  <si>
    <t>Solvency Ratio</t>
  </si>
  <si>
    <t>Turnover Ratios</t>
  </si>
  <si>
    <t>Long-term Debt–Equity Ratio</t>
  </si>
  <si>
    <t>Liabilities to Assets Ratio</t>
  </si>
  <si>
    <t>Intrest coverage ratio</t>
  </si>
  <si>
    <t>Total Assets turnover Ratio</t>
  </si>
  <si>
    <t>FA Turnover Ratio</t>
  </si>
  <si>
    <t>(Long-term Liq. Position)</t>
  </si>
  <si>
    <t>Overall efficency of business</t>
  </si>
  <si>
    <t xml:space="preserve">Total  Assets </t>
  </si>
  <si>
    <t>Long-term debt</t>
  </si>
  <si>
    <t>Total Liablities</t>
  </si>
  <si>
    <t>Earning before Intrest &amp; Tax(EBIT)</t>
  </si>
  <si>
    <t xml:space="preserve">Total Average Assets </t>
  </si>
  <si>
    <t xml:space="preserve">Total Average Fixed Assets </t>
  </si>
  <si>
    <t xml:space="preserve">Total Assets </t>
  </si>
  <si>
    <t xml:space="preserve">Intrest </t>
  </si>
  <si>
    <t>Long-term Debt / Equity</t>
  </si>
  <si>
    <t xml:space="preserve">Total liablities /  Total Assets </t>
  </si>
  <si>
    <t xml:space="preserve">Revenue/ Total average Assets </t>
  </si>
  <si>
    <t xml:space="preserve">Revenue/ Total FA average Assets </t>
  </si>
  <si>
    <t>Current Assets Turnover Ratio</t>
  </si>
  <si>
    <t>Inventory Turnover Ratio</t>
  </si>
  <si>
    <t>Inventory</t>
  </si>
  <si>
    <t>Inventory Holding Ratio =</t>
  </si>
  <si>
    <t xml:space="preserve">365 Days </t>
  </si>
  <si>
    <t>=</t>
  </si>
  <si>
    <t xml:space="preserve">Cost of Good sold </t>
  </si>
  <si>
    <t xml:space="preserve">Inventory Turnover Ratio </t>
  </si>
  <si>
    <t xml:space="preserve">Average C.A / Closing C.A </t>
  </si>
  <si>
    <t xml:space="preserve">Total Average Inventory </t>
  </si>
  <si>
    <t>Closing C.A used if last year data (i.g 2019) is not available</t>
  </si>
  <si>
    <t xml:space="preserve">Revenue/ Total CA average Assets </t>
  </si>
  <si>
    <t>COGS/ Total average Inventory</t>
  </si>
  <si>
    <t xml:space="preserve">Recivable Turnover Ratio </t>
  </si>
  <si>
    <t>365 Days</t>
  </si>
  <si>
    <t>Average Recivables</t>
  </si>
  <si>
    <t>Recivable turnover ratio</t>
  </si>
  <si>
    <t>Revenue assumed as credit sales</t>
  </si>
  <si>
    <t>Revenus / Average Recivable</t>
  </si>
  <si>
    <t>Unilever Group – Financial Ratio Analysis &amp; Interpretation (2020 – 2021)</t>
  </si>
  <si>
    <t>1. Profitability Analysis</t>
  </si>
  <si>
    <t>Ratios</t>
  </si>
  <si>
    <t>ROCE</t>
  </si>
  <si>
    <t>ROE</t>
  </si>
  <si>
    <t>2. Efficiency &amp; Working Capital Ratio</t>
  </si>
  <si>
    <t>3. Liquidity &amp; Solvency</t>
  </si>
  <si>
    <t>Inventory Days</t>
  </si>
  <si>
    <t>Current Ratio</t>
  </si>
  <si>
    <t>Receivable Days</t>
  </si>
  <si>
    <t>Debt–Equity</t>
  </si>
  <si>
    <t>Payable Days</t>
  </si>
  <si>
    <t>Interest Coverage</t>
  </si>
  <si>
    <t>Asset Turnover</t>
  </si>
  <si>
    <t>Overall Financial Assessment</t>
  </si>
  <si>
    <t>→ Margins remained resilient despite slight cost pressures.</t>
  </si>
  <si>
    <t>→ Receivable collection improved while supplier credit remained strong.</t>
  </si>
  <si>
    <t>Prepared By</t>
  </si>
  <si>
    <t>Ayush Nitin Jagtap</t>
  </si>
  <si>
    <t>Professional Focus</t>
  </si>
  <si>
    <t xml:space="preserve">AI - Integrated Finance | Accounting | Finance &amp; Business Analysis | Financial Modeling 						</t>
  </si>
  <si>
    <t>Education</t>
  </si>
  <si>
    <t>Email ID</t>
  </si>
  <si>
    <t>ayushjagtap1657@gmail.com</t>
  </si>
  <si>
    <t>LinkedIn</t>
  </si>
  <si>
    <t>https://www.linkedin.com/in/ayush-jagtap-a14767278/?isSelfProfile=true</t>
  </si>
  <si>
    <r>
      <t xml:space="preserve">75,095 (Assets 2021)+67,659 (Assets 2020)​ = 142,754​ = </t>
    </r>
    <r>
      <rPr>
        <b/>
        <sz val="12"/>
        <color theme="1"/>
        <rFont val="Calibri"/>
        <family val="2"/>
        <scheme val="minor"/>
      </rPr>
      <t>71,377</t>
    </r>
  </si>
  <si>
    <r>
      <t xml:space="preserve">67,659 (Assets 2020)+64,806 (Assets 2019)​ = 132,465 ​= </t>
    </r>
    <r>
      <rPr>
        <b/>
        <sz val="12"/>
        <color theme="1"/>
        <rFont val="Calibri"/>
        <family val="2"/>
        <scheme val="minor"/>
      </rPr>
      <t>66,233</t>
    </r>
  </si>
  <si>
    <r>
      <t xml:space="preserve">9,746 (Equity 2021)+17,655 (Equity 2020)​= 37,401 ​= </t>
    </r>
    <r>
      <rPr>
        <b/>
        <sz val="12"/>
        <color theme="1"/>
        <rFont val="Calibri"/>
        <family val="2"/>
        <scheme val="minor"/>
      </rPr>
      <t>18,701</t>
    </r>
  </si>
  <si>
    <r>
      <t xml:space="preserve">217,655 (Equity 2020)+13,886 (Equity 2019)​= 31,541 ​= </t>
    </r>
    <r>
      <rPr>
        <b/>
        <sz val="12"/>
        <color theme="1"/>
        <rFont val="Calibri"/>
        <family val="2"/>
        <scheme val="minor"/>
      </rPr>
      <t>15,771</t>
    </r>
  </si>
  <si>
    <r>
      <rPr>
        <sz val="16"/>
        <color theme="1"/>
        <rFont val="Symbol"/>
        <family val="1"/>
        <charset val="2"/>
      </rPr>
      <t>·</t>
    </r>
    <r>
      <rPr>
        <sz val="16"/>
        <color theme="1"/>
        <rFont val="Calibri"/>
        <family val="2"/>
      </rPr>
      <t xml:space="preserve"> Slight decline indicates marginal moderation in overall asset utilization efficiency.</t>
    </r>
  </si>
  <si>
    <r>
      <rPr>
        <sz val="16"/>
        <color theme="1"/>
        <rFont val="Symbol"/>
        <family val="1"/>
        <charset val="2"/>
      </rPr>
      <t>·</t>
    </r>
    <r>
      <rPr>
        <sz val="16"/>
        <color theme="1"/>
        <rFont val="Calibri"/>
        <family val="2"/>
      </rPr>
      <t xml:space="preserve"> Strong coverage reflects comfortable debt-servicing capacity despite decline.</t>
    </r>
  </si>
  <si>
    <r>
      <rPr>
        <sz val="16"/>
        <color theme="1"/>
        <rFont val="Symbol"/>
        <family val="1"/>
        <charset val="2"/>
      </rPr>
      <t>·</t>
    </r>
    <r>
      <rPr>
        <sz val="16"/>
        <color theme="1"/>
        <rFont val="Calibri"/>
        <family val="2"/>
      </rPr>
      <t xml:space="preserve"> High payable period suggests strong supplier leverage and effective working capital financing.</t>
    </r>
  </si>
  <si>
    <r>
      <rPr>
        <sz val="16"/>
        <color theme="1"/>
        <rFont val="Symbol"/>
        <family val="1"/>
        <charset val="2"/>
      </rPr>
      <t>·</t>
    </r>
    <r>
      <rPr>
        <sz val="16"/>
        <color theme="1"/>
        <rFont val="Calibri"/>
        <family val="2"/>
        <scheme val="minor"/>
      </rPr>
      <t xml:space="preserve"> Lower leverage signals improving capital structure strength.</t>
    </r>
  </si>
  <si>
    <r>
      <rPr>
        <sz val="16"/>
        <color theme="1"/>
        <rFont val="Symbol"/>
        <family val="1"/>
        <charset val="2"/>
      </rPr>
      <t>·</t>
    </r>
    <r>
      <rPr>
        <sz val="16"/>
        <color theme="1"/>
        <rFont val="Calibri"/>
        <family val="2"/>
        <scheme val="minor"/>
      </rPr>
      <t xml:space="preserve"> Improved collection cycle indicates stronger credit control and faster cash realization.</t>
    </r>
  </si>
  <si>
    <r>
      <rPr>
        <sz val="16"/>
        <color theme="1"/>
        <rFont val="Symbol"/>
        <family val="1"/>
        <charset val="2"/>
      </rPr>
      <t>·</t>
    </r>
    <r>
      <rPr>
        <sz val="16"/>
        <color theme="1"/>
        <rFont val="Calibri"/>
        <family val="2"/>
      </rPr>
      <t xml:space="preserve"> Decline indicates tighter liquidity, though still manageable.</t>
    </r>
  </si>
  <si>
    <r>
      <rPr>
        <sz val="16"/>
        <color theme="1"/>
        <rFont val="Symbol"/>
        <family val="1"/>
        <charset val="2"/>
      </rPr>
      <t>·</t>
    </r>
    <r>
      <rPr>
        <sz val="16"/>
        <color theme="1"/>
        <rFont val="Calibri"/>
        <family val="2"/>
      </rPr>
      <t xml:space="preserve"> Inventory holding period remained stable, reflecting consistent stock management efficiency.</t>
    </r>
  </si>
  <si>
    <r>
      <rPr>
        <sz val="16"/>
        <color theme="1"/>
        <rFont val="Symbol"/>
        <family val="1"/>
        <charset val="2"/>
      </rPr>
      <t>·</t>
    </r>
    <r>
      <rPr>
        <sz val="16"/>
        <color theme="1"/>
        <rFont val="Calibri"/>
        <family val="2"/>
      </rPr>
      <t xml:space="preserve"> Though slightly lower year-on-year, ROE remains at a strong level, highlighting sustained shareholder value creation and effective equity utilization within the business structure.</t>
    </r>
  </si>
  <si>
    <r>
      <rPr>
        <sz val="16"/>
        <color theme="1"/>
        <rFont val="Symbol"/>
        <family val="1"/>
        <charset val="2"/>
      </rPr>
      <t>·</t>
    </r>
    <r>
      <rPr>
        <sz val="16"/>
        <color theme="1"/>
        <rFont val="Calibri"/>
        <family val="2"/>
      </rPr>
      <t xml:space="preserve"> Stable capital returns indicate consistent efficiency in deploying long-term capital and generating healthy operating returns from invested funds.</t>
    </r>
  </si>
  <si>
    <r>
      <rPr>
        <sz val="16"/>
        <color theme="1"/>
        <rFont val="Symbol"/>
        <family val="1"/>
        <charset val="2"/>
      </rPr>
      <t>·</t>
    </r>
    <r>
      <rPr>
        <sz val="16"/>
        <color theme="1"/>
        <rFont val="Calibri"/>
        <family val="2"/>
      </rPr>
      <t xml:space="preserve"> Increase suggests stronger bottom-line performance driven by improved expense control, operational discipline, and stable revenue generation during the financial year.</t>
    </r>
  </si>
  <si>
    <r>
      <rPr>
        <sz val="16"/>
        <color theme="1"/>
        <rFont val="Symbol"/>
        <family val="1"/>
        <charset val="2"/>
      </rPr>
      <t>·</t>
    </r>
    <r>
      <rPr>
        <sz val="16"/>
        <color theme="1"/>
        <rFont val="Calibri"/>
        <family val="2"/>
        <scheme val="minor"/>
      </rPr>
      <t xml:space="preserve"> Marginal improvement reflects effective operating cost control and sustained efficiency across core business operations.</t>
    </r>
  </si>
  <si>
    <r>
      <rPr>
        <sz val="16"/>
        <color theme="1"/>
        <rFont val="Symbol"/>
        <family val="1"/>
        <charset val="2"/>
      </rPr>
      <t>·</t>
    </r>
    <r>
      <rPr>
        <sz val="16"/>
        <color theme="1"/>
        <rFont val="Calibri"/>
        <family val="2"/>
      </rPr>
      <t xml:space="preserve"> Slight decline indicates mild cost pressure, though margins remain structurally strong within the competitive FMCG environment.</t>
    </r>
  </si>
  <si>
    <r>
      <t xml:space="preserve">Unilever Group – Financial Performance Dashboard (2020 – 2021)
</t>
    </r>
    <r>
      <rPr>
        <b/>
        <sz val="18"/>
        <color theme="4" tint="-0.499984740745262"/>
        <rFont val="Calibri"/>
        <family val="2"/>
        <scheme val="minor"/>
      </rPr>
      <t>FY 2020 - FY 2021</t>
    </r>
    <r>
      <rPr>
        <b/>
        <sz val="22"/>
        <color theme="4" tint="-0.499984740745262"/>
        <rFont val="Calibri"/>
        <family val="2"/>
        <scheme val="minor"/>
      </rPr>
      <t xml:space="preserve"> </t>
    </r>
  </si>
  <si>
    <t>B.Com (Business Administration) | M.Com ( Accounting, Analysis &amp; Income Tax)</t>
  </si>
  <si>
    <t xml:space="preserve">Unilever Group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</si>
</sst>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0.00_);_(* \(#,##0.00\);_(* \-??_);_(@_)"/>
    <numFmt numFmtId="166" formatCode="_ * #,##0.00_ ;_ * \-#,##0.00_ ;_ * \-??_ ;_ @_ "/>
    <numFmt numFmtId="167" formatCode="0.0"/>
  </numFmts>
  <fonts count="75">
    <font>
      <sz val="12"/>
      <color theme="1"/>
      <name val="Calibri"/>
      <family val="2"/>
      <charset val="1"/>
    </font>
    <font>
      <b/>
      <sz val="12"/>
      <color rgb="FFFFFFFF"/>
      <name val="Aptos"/>
      <family val="2"/>
    </font>
    <font>
      <b/>
      <sz val="11"/>
      <color rgb="FFFFFFFF"/>
      <name val="Cambria"/>
      <family val="1"/>
    </font>
    <font>
      <b/>
      <sz val="22"/>
      <color rgb="FFFFFFFF"/>
      <name val="Aptos Display"/>
      <family val="2"/>
    </font>
    <font>
      <b/>
      <sz val="18"/>
      <color rgb="FFFFFFFF"/>
      <name val="Aptos Display"/>
      <family val="2"/>
    </font>
    <font>
      <sz val="14"/>
      <color theme="1"/>
      <name val="Calibri"/>
      <family val="2"/>
      <charset val="1"/>
    </font>
    <font>
      <b/>
      <sz val="10"/>
      <color rgb="FFFFFFFF"/>
      <name val="Aptos"/>
      <family val="2"/>
    </font>
    <font>
      <b/>
      <sz val="11"/>
      <color rgb="FF18323F"/>
      <name val="Aptos"/>
      <family val="2"/>
    </font>
    <font>
      <b/>
      <sz val="20"/>
      <color theme="1"/>
      <name val="Calibri"/>
      <family val="2"/>
      <charset val="1"/>
    </font>
    <font>
      <sz val="12"/>
      <color rgb="FF18323F"/>
      <name val="Aptos"/>
      <family val="2"/>
    </font>
    <font>
      <sz val="8"/>
      <color rgb="FF18323F"/>
      <name val="Aptos"/>
      <family val="2"/>
    </font>
    <font>
      <b/>
      <sz val="11"/>
      <color theme="1"/>
      <name val="Calibri"/>
      <family val="2"/>
      <charset val="1"/>
    </font>
    <font>
      <sz val="11"/>
      <color rgb="FF18323F"/>
      <name val="Aptos"/>
      <family val="2"/>
    </font>
    <font>
      <b/>
      <sz val="14"/>
      <color rgb="FF18323F"/>
      <name val="Aptos"/>
      <family val="2"/>
    </font>
    <font>
      <sz val="11"/>
      <color theme="1"/>
      <name val="Calibri"/>
      <family val="2"/>
      <charset val="1"/>
    </font>
    <font>
      <b/>
      <sz val="12"/>
      <color rgb="FF18323F"/>
      <name val="Aptos"/>
      <family val="2"/>
    </font>
    <font>
      <sz val="26"/>
      <color rgb="FF18323F"/>
      <name val="Aptos"/>
      <family val="2"/>
    </font>
    <font>
      <b/>
      <sz val="26"/>
      <color rgb="FF18323F"/>
      <name val="Aptos"/>
      <family val="2"/>
    </font>
    <font>
      <sz val="20"/>
      <color rgb="FF18323F"/>
      <name val="Aptos"/>
      <family val="2"/>
    </font>
    <font>
      <sz val="14"/>
      <color rgb="FF18323F"/>
      <name val="Aptos"/>
      <family val="2"/>
    </font>
    <font>
      <b/>
      <u/>
      <sz val="36"/>
      <color theme="1"/>
      <name val="Calibri"/>
      <family val="2"/>
      <charset val="1"/>
    </font>
    <font>
      <sz val="16"/>
      <color theme="1"/>
      <name val="Calibri"/>
      <family val="2"/>
      <charset val="1"/>
    </font>
    <font>
      <sz val="16"/>
      <color rgb="FF18323F"/>
      <name val="Aptos"/>
      <family val="2"/>
    </font>
    <font>
      <b/>
      <sz val="36"/>
      <color theme="1"/>
      <name val="Calibri"/>
      <family val="2"/>
      <charset val="1"/>
    </font>
    <font>
      <sz val="14.4"/>
      <color rgb="FF454545"/>
      <name val="Arial"/>
      <family val="2"/>
      <charset val="1"/>
    </font>
    <font>
      <b/>
      <sz val="16"/>
      <color rgb="FF18323F"/>
      <name val="Aptos"/>
      <family val="2"/>
    </font>
    <font>
      <b/>
      <sz val="16"/>
      <color theme="1"/>
      <name val="Calibri"/>
      <family val="2"/>
      <charset val="1"/>
    </font>
    <font>
      <sz val="24"/>
      <color rgb="FF18323F"/>
      <name val="Aptos"/>
      <family val="2"/>
    </font>
    <font>
      <sz val="26"/>
      <color theme="1"/>
      <name val="Calibri"/>
      <family val="2"/>
      <charset val="1"/>
    </font>
    <font>
      <b/>
      <i/>
      <sz val="16"/>
      <color rgb="FF18323F"/>
      <name val="Aptos"/>
      <family val="2"/>
    </font>
    <font>
      <sz val="12"/>
      <color theme="4" tint="0.39988402966399123"/>
      <name val="Calibri"/>
      <family val="2"/>
      <charset val="1"/>
    </font>
    <font>
      <i/>
      <sz val="12"/>
      <color rgb="FF18323F"/>
      <name val="Aptos"/>
      <family val="2"/>
    </font>
    <font>
      <b/>
      <i/>
      <u/>
      <sz val="20"/>
      <color theme="1"/>
      <name val="Calibri"/>
      <family val="2"/>
      <charset val="1"/>
    </font>
    <font>
      <i/>
      <sz val="16"/>
      <color rgb="FF18323F"/>
      <name val="Aptos"/>
      <family val="2"/>
    </font>
    <font>
      <b/>
      <sz val="16"/>
      <name val="Calibri"/>
      <family val="2"/>
      <charset val="1"/>
    </font>
    <font>
      <sz val="18"/>
      <color rgb="FF18323F"/>
      <name val="Aptos"/>
      <family val="2"/>
    </font>
    <font>
      <b/>
      <sz val="12"/>
      <color theme="1"/>
      <name val="Calibri"/>
      <family val="2"/>
      <charset val="1"/>
    </font>
    <font>
      <sz val="16"/>
      <color theme="1"/>
      <name val="Calibri"/>
      <family val="1"/>
      <charset val="2"/>
    </font>
    <font>
      <b/>
      <sz val="20"/>
      <color rgb="FFFFFFFF"/>
      <name val="Aptos Display"/>
      <family val="2"/>
    </font>
    <font>
      <sz val="12"/>
      <color theme="1"/>
      <name val="Calibri"/>
      <family val="2"/>
      <charset val="1"/>
    </font>
    <font>
      <b/>
      <sz val="12"/>
      <color rgb="FFFFFFFF"/>
      <name val="Cambria"/>
      <family val="1"/>
    </font>
    <font>
      <b/>
      <sz val="12"/>
      <color rgb="FF64748B"/>
      <name val="Cambria"/>
      <family val="1"/>
    </font>
    <font>
      <sz val="12"/>
      <color rgb="FF18323F"/>
      <name val="Cambria"/>
      <family val="1"/>
    </font>
    <font>
      <b/>
      <sz val="12"/>
      <color rgb="FF2A9D8F"/>
      <name val="Cambria"/>
      <family val="1"/>
    </font>
    <font>
      <b/>
      <sz val="12"/>
      <color rgb="FF18323F"/>
      <name val="Cambria"/>
      <family val="1"/>
    </font>
    <font>
      <sz val="12"/>
      <color rgb="FF64748B"/>
      <name val="Cambria"/>
      <family val="1"/>
    </font>
    <font>
      <i/>
      <sz val="12"/>
      <color rgb="FF64748B"/>
      <name val="Cambria"/>
      <family val="1"/>
    </font>
    <font>
      <b/>
      <sz val="12"/>
      <color rgb="FF123B5D"/>
      <name val="Cambria"/>
      <family val="1"/>
    </font>
    <font>
      <sz val="12"/>
      <color rgb="FF17324D"/>
      <name val="Cambria"/>
      <family val="1"/>
    </font>
    <font>
      <u/>
      <sz val="12"/>
      <color theme="10"/>
      <name val="Calibri"/>
      <family val="2"/>
      <charset val="1"/>
    </font>
    <font>
      <b/>
      <sz val="12"/>
      <color theme="1" tint="0.34998626667073579"/>
      <name val="Cambria"/>
      <family val="1"/>
    </font>
    <font>
      <b/>
      <sz val="12"/>
      <name val="Cambria"/>
      <family val="1"/>
    </font>
    <font>
      <sz val="14"/>
      <color rgb="FF18323F"/>
      <name val="Cambria"/>
      <family val="1"/>
    </font>
    <font>
      <b/>
      <sz val="14"/>
      <color rgb="FFFFFFFF"/>
      <name val="Cambria"/>
      <family val="1"/>
    </font>
    <font>
      <b/>
      <i/>
      <sz val="22"/>
      <color rgb="FF123B5D"/>
      <name val="Aptos Display"/>
      <family val="2"/>
    </font>
    <font>
      <b/>
      <sz val="16"/>
      <color rgb="FFFFFFFF"/>
      <name val="Cambria"/>
      <family val="1"/>
    </font>
    <font>
      <b/>
      <sz val="12"/>
      <color theme="1"/>
      <name val="Calibri"/>
      <family val="2"/>
      <scheme val="minor"/>
    </font>
    <font>
      <sz val="48"/>
      <color theme="1"/>
      <name val="Calibri"/>
      <family val="2"/>
      <scheme val="minor"/>
    </font>
    <font>
      <sz val="12"/>
      <color theme="1"/>
      <name val="Calibri"/>
      <family val="2"/>
      <scheme val="minor"/>
    </font>
    <font>
      <sz val="14"/>
      <color theme="1"/>
      <name val="Calibri"/>
      <family val="2"/>
      <scheme val="minor"/>
    </font>
    <font>
      <b/>
      <i/>
      <sz val="16"/>
      <color theme="1"/>
      <name val="Calibri"/>
      <family val="2"/>
      <scheme val="minor"/>
    </font>
    <font>
      <sz val="16"/>
      <color theme="1"/>
      <name val="Calibri"/>
      <family val="2"/>
      <scheme val="minor"/>
    </font>
    <font>
      <sz val="16"/>
      <color theme="1"/>
      <name val="Symbol"/>
      <family val="1"/>
      <charset val="2"/>
    </font>
    <font>
      <sz val="16"/>
      <color theme="1"/>
      <name val="Calibri"/>
      <family val="2"/>
    </font>
    <font>
      <sz val="16"/>
      <color theme="1"/>
      <name val="Calibri"/>
      <family val="1"/>
      <charset val="2"/>
      <scheme val="minor"/>
    </font>
    <font>
      <b/>
      <sz val="16"/>
      <color theme="1"/>
      <name val="Calibri"/>
      <family val="2"/>
      <scheme val="minor"/>
    </font>
    <font>
      <b/>
      <sz val="14"/>
      <color theme="0"/>
      <name val="Calibri"/>
      <family val="2"/>
      <scheme val="minor"/>
    </font>
    <font>
      <b/>
      <sz val="16"/>
      <color theme="0"/>
      <name val="Calibri"/>
      <family val="2"/>
      <scheme val="minor"/>
    </font>
    <font>
      <b/>
      <sz val="14"/>
      <color theme="1"/>
      <name val="Calibri"/>
      <family val="2"/>
      <scheme val="minor"/>
    </font>
    <font>
      <i/>
      <sz val="11"/>
      <color theme="2" tint="-0.499984740745262"/>
      <name val="Calibri"/>
      <family val="2"/>
      <scheme val="minor"/>
    </font>
    <font>
      <i/>
      <sz val="12"/>
      <color theme="2" tint="-0.749992370372631"/>
      <name val="Calibri"/>
      <family val="2"/>
      <scheme val="minor"/>
    </font>
    <font>
      <b/>
      <sz val="18"/>
      <color theme="4" tint="-0.499984740745262"/>
      <name val="Calibri"/>
      <family val="2"/>
      <scheme val="minor"/>
    </font>
    <font>
      <b/>
      <sz val="22"/>
      <color theme="4" tint="-0.499984740745262"/>
      <name val="Calibri"/>
      <family val="2"/>
      <scheme val="minor"/>
    </font>
    <font>
      <b/>
      <sz val="20"/>
      <color theme="0"/>
      <name val="Calibri"/>
      <family val="2"/>
      <scheme val="minor"/>
    </font>
    <font>
      <b/>
      <sz val="24"/>
      <color theme="0"/>
      <name val="Cambria"/>
      <family val="1"/>
    </font>
  </fonts>
  <fills count="22">
    <fill>
      <patternFill patternType="none"/>
    </fill>
    <fill>
      <patternFill patternType="gray125"/>
    </fill>
    <fill>
      <patternFill patternType="solid">
        <fgColor rgb="FF123B5D"/>
        <bgColor rgb="FF203864"/>
      </patternFill>
    </fill>
    <fill>
      <patternFill patternType="solid">
        <fgColor rgb="FF1F6F8B"/>
        <bgColor rgb="FF008080"/>
      </patternFill>
    </fill>
    <fill>
      <patternFill patternType="solid">
        <fgColor rgb="FF2A9D8F"/>
        <bgColor rgb="FF008080"/>
      </patternFill>
    </fill>
    <fill>
      <patternFill patternType="solid">
        <fgColor rgb="FFEAF4F4"/>
        <bgColor rgb="FFF6FAFA"/>
      </patternFill>
    </fill>
    <fill>
      <patternFill patternType="solid">
        <fgColor rgb="FFF6FAFA"/>
        <bgColor rgb="FFFFFFFF"/>
      </patternFill>
    </fill>
    <fill>
      <patternFill patternType="solid">
        <fgColor theme="4" tint="0.39988402966399123"/>
        <bgColor rgb="FFADB9CA"/>
      </patternFill>
    </fill>
    <fill>
      <patternFill patternType="solid">
        <fgColor theme="3" tint="0.79989013336588644"/>
        <bgColor rgb="FFD9D9D9"/>
      </patternFill>
    </fill>
    <fill>
      <patternFill patternType="solid">
        <fgColor theme="4" tint="0.79989013336588644"/>
        <bgColor rgb="FFD6DCE5"/>
      </patternFill>
    </fill>
    <fill>
      <patternFill patternType="solid">
        <fgColor theme="4" tint="0.59987182226020086"/>
        <bgColor rgb="FFADB9CA"/>
      </patternFill>
    </fill>
    <fill>
      <patternFill patternType="solid">
        <fgColor theme="3" tint="0.59987182226020086"/>
        <bgColor rgb="FFBFBFBF"/>
      </patternFill>
    </fill>
    <fill>
      <patternFill patternType="solid">
        <fgColor theme="0"/>
        <bgColor rgb="FFF6FAFA"/>
      </patternFill>
    </fill>
    <fill>
      <patternFill patternType="solid">
        <fgColor rgb="FFF5F9FC"/>
      </patternFill>
    </fill>
    <fill>
      <patternFill patternType="solid">
        <fgColor theme="8" tint="0.79998168889431442"/>
        <bgColor indexed="64"/>
      </patternFill>
    </fill>
    <fill>
      <patternFill patternType="solid">
        <fgColor rgb="FFEAEAEA"/>
        <bgColor indexed="64"/>
      </patternFill>
    </fill>
    <fill>
      <patternFill patternType="solid">
        <fgColor theme="0" tint="-0.14999847407452621"/>
        <bgColor indexed="64"/>
      </patternFill>
    </fill>
    <fill>
      <patternFill patternType="solid">
        <fgColor theme="5"/>
        <bgColor indexed="64"/>
      </patternFill>
    </fill>
    <fill>
      <patternFill patternType="solid">
        <fgColor theme="4" tint="-0.499984740745262"/>
        <bgColor indexed="64"/>
      </patternFill>
    </fill>
    <fill>
      <patternFill patternType="solid">
        <fgColor theme="9"/>
        <bgColor indexed="64"/>
      </patternFill>
    </fill>
    <fill>
      <patternFill patternType="solid">
        <fgColor theme="0" tint="-4.9989318521683403E-2"/>
        <bgColor indexed="64"/>
      </patternFill>
    </fill>
    <fill>
      <patternFill patternType="solid">
        <fgColor theme="8" tint="-0.499984740745262"/>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bottom style="thin">
        <color auto="1"/>
      </bottom>
      <diagonal/>
    </border>
    <border>
      <left/>
      <right/>
      <top/>
      <bottom style="thin">
        <color rgb="FFC9D7E3"/>
      </bottom>
      <diagonal/>
    </border>
  </borders>
  <cellStyleXfs count="5">
    <xf numFmtId="0" fontId="0" fillId="0" borderId="0"/>
    <xf numFmtId="165" fontId="39" fillId="0" borderId="0"/>
    <xf numFmtId="9" fontId="39" fillId="0" borderId="0"/>
    <xf numFmtId="0" fontId="49" fillId="0" borderId="0" applyNumberFormat="0" applyFill="0" applyBorder="0" applyAlignment="0" applyProtection="0"/>
    <xf numFmtId="0" fontId="58" fillId="0" borderId="0"/>
  </cellStyleXfs>
  <cellXfs count="329">
    <xf numFmtId="0" fontId="0" fillId="0" borderId="0" xfId="0"/>
    <xf numFmtId="0" fontId="0" fillId="0" borderId="0" xfId="0" applyAlignment="1">
      <alignment horizontal="center"/>
    </xf>
    <xf numFmtId="0" fontId="6" fillId="3" borderId="0" xfId="0" applyFont="1" applyFill="1" applyAlignment="1">
      <alignment horizontal="left" vertical="center"/>
    </xf>
    <xf numFmtId="0" fontId="7" fillId="0" borderId="0" xfId="0" applyFont="1" applyAlignment="1">
      <alignment horizontal="left" vertical="center"/>
    </xf>
    <xf numFmtId="0" fontId="0" fillId="0" borderId="1" xfId="0" applyBorder="1"/>
    <xf numFmtId="0" fontId="0" fillId="0" borderId="2" xfId="0" applyBorder="1" applyAlignment="1">
      <alignment horizontal="center"/>
    </xf>
    <xf numFmtId="0" fontId="7" fillId="0" borderId="3" xfId="0" applyFont="1" applyBorder="1" applyAlignment="1">
      <alignment horizontal="center" vertical="center"/>
    </xf>
    <xf numFmtId="0" fontId="9" fillId="0" borderId="4" xfId="0" applyFont="1" applyBorder="1" applyAlignment="1">
      <alignment horizontal="center" vertical="center"/>
    </xf>
    <xf numFmtId="0" fontId="0" fillId="0" borderId="5" xfId="0" applyBorder="1"/>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10" fillId="0" borderId="0" xfId="0" applyFont="1" applyAlignment="1">
      <alignment horizontal="center" vertical="center"/>
    </xf>
    <xf numFmtId="0" fontId="7" fillId="0" borderId="1" xfId="0" applyFont="1" applyBorder="1" applyAlignment="1">
      <alignment horizontal="left" vertical="center"/>
    </xf>
    <xf numFmtId="0" fontId="0" fillId="0" borderId="3" xfId="0" applyBorder="1" applyAlignment="1">
      <alignment horizontal="center"/>
    </xf>
    <xf numFmtId="0" fontId="0" fillId="0" borderId="4" xfId="0" applyBorder="1" applyAlignment="1">
      <alignment horizontal="center"/>
    </xf>
    <xf numFmtId="0" fontId="0" fillId="0" borderId="8" xfId="0" applyBorder="1"/>
    <xf numFmtId="0" fontId="7" fillId="0" borderId="9" xfId="0" applyFont="1" applyBorder="1" applyAlignment="1">
      <alignment horizontal="center" vertical="center"/>
    </xf>
    <xf numFmtId="0" fontId="7" fillId="0" borderId="8" xfId="0" applyFont="1" applyBorder="1" applyAlignment="1">
      <alignment horizontal="center" vertical="center"/>
    </xf>
    <xf numFmtId="0" fontId="7" fillId="0" borderId="5" xfId="0" applyFont="1" applyBorder="1" applyAlignment="1">
      <alignment horizontal="left" vertical="center"/>
    </xf>
    <xf numFmtId="0" fontId="0" fillId="0" borderId="6" xfId="0" applyBorder="1" applyAlignment="1">
      <alignment horizontal="center"/>
    </xf>
    <xf numFmtId="0" fontId="0" fillId="0" borderId="7" xfId="0" applyBorder="1" applyAlignment="1">
      <alignment horizontal="center"/>
    </xf>
    <xf numFmtId="0" fontId="9" fillId="0" borderId="5" xfId="0" applyFont="1" applyBorder="1" applyAlignment="1">
      <alignment horizontal="left" vertical="center"/>
    </xf>
    <xf numFmtId="3" fontId="9" fillId="0" borderId="5" xfId="0" applyNumberFormat="1" applyFont="1" applyBorder="1" applyAlignment="1">
      <alignment horizontal="center" vertical="center"/>
    </xf>
    <xf numFmtId="3" fontId="9" fillId="0" borderId="6" xfId="0" applyNumberFormat="1" applyFont="1" applyBorder="1" applyAlignment="1">
      <alignment horizontal="center" vertical="center"/>
    </xf>
    <xf numFmtId="3" fontId="9" fillId="0" borderId="7" xfId="0" applyNumberFormat="1" applyFont="1" applyBorder="1" applyAlignment="1">
      <alignment horizontal="center" vertical="center"/>
    </xf>
    <xf numFmtId="3" fontId="7" fillId="0" borderId="5" xfId="0" applyNumberFormat="1" applyFont="1" applyBorder="1" applyAlignment="1">
      <alignment horizontal="center" vertical="center"/>
    </xf>
    <xf numFmtId="3" fontId="7" fillId="0" borderId="6" xfId="0" applyNumberFormat="1" applyFont="1" applyBorder="1" applyAlignment="1">
      <alignment horizontal="center" vertical="center"/>
    </xf>
    <xf numFmtId="0" fontId="0" fillId="0" borderId="5" xfId="0" applyBorder="1" applyAlignment="1">
      <alignment horizontal="center"/>
    </xf>
    <xf numFmtId="3" fontId="0" fillId="0" borderId="6" xfId="0" applyNumberFormat="1" applyBorder="1" applyAlignment="1">
      <alignment horizontal="center"/>
    </xf>
    <xf numFmtId="0" fontId="9" fillId="0" borderId="5" xfId="0" applyFont="1" applyBorder="1" applyAlignment="1">
      <alignment horizontal="left" vertical="center" wrapText="1"/>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5" xfId="0" applyFont="1" applyBorder="1" applyAlignment="1">
      <alignment horizontal="center" vertical="center"/>
    </xf>
    <xf numFmtId="3" fontId="7" fillId="0" borderId="8" xfId="0" applyNumberFormat="1" applyFont="1" applyBorder="1" applyAlignment="1">
      <alignment horizontal="center" vertical="center"/>
    </xf>
    <xf numFmtId="3" fontId="7" fillId="0" borderId="10" xfId="0" applyNumberFormat="1" applyFont="1" applyBorder="1" applyAlignment="1">
      <alignment horizontal="center" vertical="center"/>
    </xf>
    <xf numFmtId="0" fontId="9" fillId="0" borderId="7" xfId="0" applyFont="1" applyBorder="1" applyAlignment="1">
      <alignment horizontal="left" vertical="center" wrapText="1"/>
    </xf>
    <xf numFmtId="0" fontId="9" fillId="0" borderId="0" xfId="0" applyFont="1" applyAlignment="1">
      <alignment horizontal="center" vertical="center"/>
    </xf>
    <xf numFmtId="3" fontId="0" fillId="0" borderId="5" xfId="0" applyNumberFormat="1" applyBorder="1" applyAlignment="1">
      <alignment horizontal="center"/>
    </xf>
    <xf numFmtId="0" fontId="11" fillId="0" borderId="0" xfId="0" applyFont="1" applyAlignment="1">
      <alignment horizontal="center"/>
    </xf>
    <xf numFmtId="3" fontId="7" fillId="0" borderId="7" xfId="0" applyNumberFormat="1" applyFont="1" applyBorder="1" applyAlignment="1">
      <alignment horizontal="center" vertical="center"/>
    </xf>
    <xf numFmtId="0" fontId="0" fillId="0" borderId="11" xfId="0" applyBorder="1"/>
    <xf numFmtId="0" fontId="0" fillId="0" borderId="11" xfId="0" applyBorder="1" applyAlignment="1">
      <alignment horizontal="center"/>
    </xf>
    <xf numFmtId="0" fontId="0" fillId="0" borderId="12" xfId="0" applyBorder="1" applyAlignment="1">
      <alignment horizontal="center"/>
    </xf>
    <xf numFmtId="3" fontId="12" fillId="0" borderId="8" xfId="0" applyNumberFormat="1" applyFont="1" applyBorder="1" applyAlignment="1">
      <alignment horizontal="center" vertical="center"/>
    </xf>
    <xf numFmtId="3" fontId="12" fillId="0" borderId="10" xfId="0" applyNumberFormat="1" applyFont="1" applyBorder="1" applyAlignment="1">
      <alignment horizontal="center" vertical="center"/>
    </xf>
    <xf numFmtId="0" fontId="7" fillId="0" borderId="6" xfId="0" applyFont="1" applyBorder="1" applyAlignment="1">
      <alignment horizontal="left" vertical="center"/>
    </xf>
    <xf numFmtId="0" fontId="7" fillId="0" borderId="11" xfId="0" applyFont="1" applyBorder="1" applyAlignment="1">
      <alignment horizontal="left" vertical="center"/>
    </xf>
    <xf numFmtId="0" fontId="11" fillId="0" borderId="13" xfId="0" applyFont="1" applyBorder="1" applyAlignment="1">
      <alignment horizontal="center"/>
    </xf>
    <xf numFmtId="3" fontId="7" fillId="0" borderId="12" xfId="0" applyNumberFormat="1" applyFont="1" applyBorder="1" applyAlignment="1">
      <alignment horizontal="center" vertical="center"/>
    </xf>
    <xf numFmtId="0" fontId="5" fillId="0" borderId="0" xfId="0" applyFont="1"/>
    <xf numFmtId="0" fontId="9" fillId="0" borderId="8" xfId="0" applyFont="1" applyBorder="1" applyAlignment="1">
      <alignment horizontal="center" vertical="center"/>
    </xf>
    <xf numFmtId="0" fontId="7" fillId="0" borderId="4" xfId="0" applyFont="1" applyBorder="1" applyAlignment="1">
      <alignment horizontal="center" vertical="center"/>
    </xf>
    <xf numFmtId="0" fontId="9" fillId="0" borderId="3" xfId="0" applyFont="1" applyBorder="1" applyAlignment="1">
      <alignment horizontal="center" vertical="center"/>
    </xf>
    <xf numFmtId="3" fontId="0" fillId="0" borderId="0" xfId="0" applyNumberFormat="1"/>
    <xf numFmtId="10" fontId="9" fillId="0" borderId="6" xfId="0" applyNumberFormat="1" applyFont="1" applyBorder="1" applyAlignment="1">
      <alignment horizontal="center" vertical="center"/>
    </xf>
    <xf numFmtId="3" fontId="9" fillId="0" borderId="0" xfId="0" applyNumberFormat="1" applyFont="1" applyAlignment="1">
      <alignment horizontal="center" vertical="center"/>
    </xf>
    <xf numFmtId="0" fontId="7" fillId="0" borderId="12" xfId="0" applyFont="1" applyBorder="1" applyAlignment="1">
      <alignment horizontal="center" vertical="center"/>
    </xf>
    <xf numFmtId="2" fontId="9" fillId="0" borderId="7" xfId="2" applyNumberFormat="1" applyFont="1" applyBorder="1" applyAlignment="1">
      <alignment horizontal="center" vertical="center"/>
    </xf>
    <xf numFmtId="0" fontId="0" fillId="0" borderId="6" xfId="0" applyBorder="1"/>
    <xf numFmtId="0" fontId="0" fillId="0" borderId="12" xfId="0" applyBorder="1"/>
    <xf numFmtId="10" fontId="9" fillId="0" borderId="7" xfId="0" applyNumberFormat="1" applyFont="1" applyBorder="1" applyAlignment="1">
      <alignment horizontal="center" vertical="center"/>
    </xf>
    <xf numFmtId="10" fontId="9" fillId="0" borderId="8" xfId="0" applyNumberFormat="1" applyFont="1" applyBorder="1" applyAlignment="1">
      <alignment horizontal="center" vertical="center"/>
    </xf>
    <xf numFmtId="10" fontId="15" fillId="0" borderId="8" xfId="0" applyNumberFormat="1" applyFont="1" applyBorder="1" applyAlignment="1">
      <alignment horizontal="center" vertical="center"/>
    </xf>
    <xf numFmtId="0" fontId="9" fillId="0" borderId="0" xfId="0" applyFont="1" applyAlignment="1">
      <alignment horizontal="left" vertical="center" wrapText="1"/>
    </xf>
    <xf numFmtId="10" fontId="7" fillId="0" borderId="7" xfId="0" applyNumberFormat="1" applyFont="1" applyBorder="1" applyAlignment="1">
      <alignment horizontal="center" vertical="center"/>
    </xf>
    <xf numFmtId="10" fontId="7" fillId="0" borderId="8" xfId="0" applyNumberFormat="1" applyFont="1" applyBorder="1" applyAlignment="1">
      <alignment horizontal="center" vertical="center"/>
    </xf>
    <xf numFmtId="10" fontId="0" fillId="0" borderId="0" xfId="0" applyNumberFormat="1"/>
    <xf numFmtId="0" fontId="11" fillId="0" borderId="7" xfId="0" applyFont="1" applyBorder="1" applyAlignment="1">
      <alignment horizontal="left"/>
    </xf>
    <xf numFmtId="10" fontId="7" fillId="0" borderId="12" xfId="0" applyNumberFormat="1" applyFont="1" applyBorder="1" applyAlignment="1">
      <alignment horizontal="center" vertical="center"/>
    </xf>
    <xf numFmtId="10" fontId="9" fillId="0" borderId="8" xfId="0" applyNumberFormat="1" applyFont="1" applyBorder="1" applyAlignment="1">
      <alignment horizontal="left" vertical="center"/>
    </xf>
    <xf numFmtId="0" fontId="0" fillId="0" borderId="0" xfId="0" applyAlignment="1">
      <alignment vertical="center"/>
    </xf>
    <xf numFmtId="0" fontId="0" fillId="0" borderId="7" xfId="0" applyBorder="1" applyAlignment="1">
      <alignment vertical="center"/>
    </xf>
    <xf numFmtId="0" fontId="16" fillId="0" borderId="0" xfId="0" applyFont="1" applyAlignment="1">
      <alignment horizontal="center" vertical="center"/>
    </xf>
    <xf numFmtId="0" fontId="17" fillId="0" borderId="9" xfId="0" applyFont="1" applyBorder="1" applyAlignment="1">
      <alignment horizontal="left" vertical="center"/>
    </xf>
    <xf numFmtId="0" fontId="18" fillId="8" borderId="1" xfId="0" applyFont="1" applyFill="1" applyBorder="1" applyAlignment="1">
      <alignment horizontal="left" vertical="center"/>
    </xf>
    <xf numFmtId="0" fontId="0" fillId="8" borderId="2" xfId="0" applyFill="1" applyBorder="1" applyAlignment="1">
      <alignment vertical="center"/>
    </xf>
    <xf numFmtId="0" fontId="0" fillId="0" borderId="2" xfId="0" applyBorder="1" applyAlignment="1">
      <alignment vertical="center"/>
    </xf>
    <xf numFmtId="0" fontId="19" fillId="0" borderId="2" xfId="0" applyFont="1" applyBorder="1" applyAlignment="1">
      <alignment horizontal="left" vertical="center"/>
    </xf>
    <xf numFmtId="0" fontId="0" fillId="0" borderId="4" xfId="0" applyBorder="1" applyAlignment="1">
      <alignment vertical="center"/>
    </xf>
    <xf numFmtId="0" fontId="0" fillId="9" borderId="2" xfId="0" applyFill="1" applyBorder="1" applyAlignment="1">
      <alignment vertical="center"/>
    </xf>
    <xf numFmtId="0" fontId="21" fillId="0" borderId="11" xfId="0" applyFont="1" applyBorder="1" applyAlignment="1">
      <alignment vertical="center"/>
    </xf>
    <xf numFmtId="0" fontId="21" fillId="0" borderId="13" xfId="0" applyFont="1" applyBorder="1" applyAlignment="1">
      <alignment vertical="center"/>
    </xf>
    <xf numFmtId="0" fontId="22" fillId="0" borderId="13" xfId="0" applyFont="1" applyBorder="1" applyAlignment="1">
      <alignment horizontal="center" vertical="center"/>
    </xf>
    <xf numFmtId="0" fontId="22" fillId="0" borderId="15" xfId="0" applyFont="1" applyBorder="1" applyAlignment="1">
      <alignment horizontal="center" vertical="center"/>
    </xf>
    <xf numFmtId="0" fontId="21" fillId="0" borderId="5" xfId="0" applyFont="1" applyBorder="1" applyAlignment="1">
      <alignment vertical="center"/>
    </xf>
    <xf numFmtId="0" fontId="21" fillId="0" borderId="0" xfId="0" applyFont="1" applyAlignment="1">
      <alignment vertical="center"/>
    </xf>
    <xf numFmtId="0" fontId="21" fillId="0" borderId="0" xfId="0" applyFont="1" applyAlignment="1">
      <alignment horizontal="center" vertical="center"/>
    </xf>
    <xf numFmtId="0" fontId="21" fillId="0" borderId="7" xfId="0" applyFont="1" applyBorder="1" applyAlignment="1">
      <alignment horizontal="center" vertical="center"/>
    </xf>
    <xf numFmtId="0" fontId="23" fillId="0" borderId="0" xfId="0" applyFont="1" applyAlignment="1">
      <alignment vertical="center"/>
    </xf>
    <xf numFmtId="0" fontId="22" fillId="0" borderId="5" xfId="0" applyFont="1" applyBorder="1" applyAlignment="1">
      <alignment horizontal="left" vertical="center"/>
    </xf>
    <xf numFmtId="3" fontId="22" fillId="0" borderId="0" xfId="0" applyNumberFormat="1" applyFont="1" applyAlignment="1">
      <alignment horizontal="center" vertical="center" wrapText="1"/>
    </xf>
    <xf numFmtId="3" fontId="22" fillId="0" borderId="7" xfId="0" applyNumberFormat="1" applyFont="1" applyBorder="1" applyAlignment="1">
      <alignment horizontal="center" vertical="center" wrapText="1"/>
    </xf>
    <xf numFmtId="0" fontId="9" fillId="0" borderId="2" xfId="0" applyFont="1" applyBorder="1" applyAlignment="1">
      <alignment horizontal="center" vertical="center"/>
    </xf>
    <xf numFmtId="2" fontId="21" fillId="0" borderId="0" xfId="1" applyNumberFormat="1" applyFont="1" applyAlignment="1">
      <alignment horizontal="center"/>
    </xf>
    <xf numFmtId="0" fontId="21" fillId="0" borderId="7" xfId="0" applyFont="1" applyBorder="1" applyAlignment="1">
      <alignment vertical="center"/>
    </xf>
    <xf numFmtId="0" fontId="24" fillId="0" borderId="0" xfId="0" applyFont="1" applyAlignment="1">
      <alignment horizontal="left" vertical="center" wrapText="1"/>
    </xf>
    <xf numFmtId="0" fontId="25" fillId="0" borderId="1" xfId="0" applyFont="1" applyBorder="1" applyAlignment="1">
      <alignment horizontal="left" vertical="center"/>
    </xf>
    <xf numFmtId="0" fontId="26" fillId="0" borderId="0" xfId="0" applyFont="1" applyAlignment="1">
      <alignment vertical="center"/>
    </xf>
    <xf numFmtId="0" fontId="25" fillId="0" borderId="5" xfId="0" applyFont="1" applyBorder="1" applyAlignment="1">
      <alignment horizontal="left" vertical="center"/>
    </xf>
    <xf numFmtId="3" fontId="22" fillId="0" borderId="0" xfId="0" applyNumberFormat="1" applyFont="1" applyAlignment="1">
      <alignment horizontal="left" vertical="center" wrapText="1"/>
    </xf>
    <xf numFmtId="3" fontId="22" fillId="0" borderId="7" xfId="0" applyNumberFormat="1" applyFont="1" applyBorder="1" applyAlignment="1">
      <alignment horizontal="left" vertical="center" wrapText="1"/>
    </xf>
    <xf numFmtId="0" fontId="27" fillId="0" borderId="0" xfId="0" applyFont="1" applyAlignment="1">
      <alignment horizontal="center" vertical="center"/>
    </xf>
    <xf numFmtId="0" fontId="6" fillId="3" borderId="1" xfId="0" applyFont="1" applyFill="1" applyBorder="1" applyAlignment="1">
      <alignment horizontal="left" vertical="center"/>
    </xf>
    <xf numFmtId="0" fontId="26" fillId="0" borderId="2" xfId="0" applyFont="1" applyBorder="1" applyAlignment="1">
      <alignment vertical="center"/>
    </xf>
    <xf numFmtId="3" fontId="22" fillId="0" borderId="0" xfId="0" applyNumberFormat="1" applyFont="1" applyAlignment="1">
      <alignment horizontal="center" vertical="center"/>
    </xf>
    <xf numFmtId="3" fontId="22" fillId="0" borderId="7" xfId="0" applyNumberFormat="1" applyFont="1" applyBorder="1" applyAlignment="1">
      <alignment horizontal="center" vertical="center"/>
    </xf>
    <xf numFmtId="0" fontId="25" fillId="0" borderId="1" xfId="0" applyFont="1" applyBorder="1" applyAlignment="1">
      <alignment horizontal="left" vertical="center" wrapText="1"/>
    </xf>
    <xf numFmtId="0" fontId="28" fillId="0" borderId="0" xfId="0" applyFont="1" applyAlignment="1">
      <alignment horizontal="left" vertical="center"/>
    </xf>
    <xf numFmtId="0" fontId="27" fillId="8" borderId="1" xfId="0" applyFont="1" applyFill="1" applyBorder="1" applyAlignment="1">
      <alignment horizontal="left" vertical="center"/>
    </xf>
    <xf numFmtId="0" fontId="29" fillId="0" borderId="5" xfId="0" applyFont="1" applyBorder="1" applyAlignment="1">
      <alignment horizontal="left" vertical="center"/>
    </xf>
    <xf numFmtId="0" fontId="21" fillId="10" borderId="12" xfId="0" applyFont="1" applyFill="1" applyBorder="1" applyAlignment="1">
      <alignment vertical="center"/>
    </xf>
    <xf numFmtId="10" fontId="25" fillId="10" borderId="12" xfId="0" applyNumberFormat="1" applyFont="1" applyFill="1" applyBorder="1" applyAlignment="1">
      <alignment horizontal="left" vertical="center"/>
    </xf>
    <xf numFmtId="10" fontId="25" fillId="11" borderId="12" xfId="0" applyNumberFormat="1" applyFont="1" applyFill="1" applyBorder="1" applyAlignment="1">
      <alignment horizontal="left" vertical="center"/>
    </xf>
    <xf numFmtId="0" fontId="8" fillId="0" borderId="11" xfId="0" applyFont="1" applyBorder="1" applyAlignment="1">
      <alignment vertical="center"/>
    </xf>
    <xf numFmtId="0" fontId="25" fillId="0" borderId="11" xfId="0" applyFont="1" applyBorder="1" applyAlignment="1">
      <alignment horizontal="left" vertical="center"/>
    </xf>
    <xf numFmtId="2" fontId="22" fillId="0" borderId="0" xfId="1" applyNumberFormat="1" applyFont="1" applyAlignment="1">
      <alignment horizontal="center" vertical="center" wrapText="1"/>
    </xf>
    <xf numFmtId="166" fontId="21" fillId="0" borderId="0" xfId="1" applyNumberFormat="1" applyFont="1" applyAlignment="1">
      <alignment vertical="center"/>
    </xf>
    <xf numFmtId="166" fontId="22" fillId="0" borderId="7" xfId="1" applyNumberFormat="1" applyFont="1" applyBorder="1" applyAlignment="1">
      <alignment horizontal="center" vertical="center" wrapText="1"/>
    </xf>
    <xf numFmtId="0" fontId="0" fillId="0" borderId="5" xfId="0" applyBorder="1" applyAlignment="1">
      <alignment vertical="center"/>
    </xf>
    <xf numFmtId="0" fontId="22" fillId="10" borderId="12" xfId="0" applyFont="1" applyFill="1" applyBorder="1" applyAlignment="1">
      <alignment horizontal="left" vertical="center"/>
    </xf>
    <xf numFmtId="164" fontId="25" fillId="11" borderId="12" xfId="2" applyNumberFormat="1" applyFont="1" applyFill="1" applyBorder="1" applyAlignment="1">
      <alignment horizontal="left" vertical="center"/>
    </xf>
    <xf numFmtId="164" fontId="25" fillId="10" borderId="12" xfId="2" applyNumberFormat="1" applyFont="1" applyFill="1" applyBorder="1" applyAlignment="1">
      <alignment horizontal="left" vertical="center"/>
    </xf>
    <xf numFmtId="9" fontId="25" fillId="11" borderId="12" xfId="2" applyFont="1" applyFill="1" applyBorder="1" applyAlignment="1">
      <alignment horizontal="left" vertical="center"/>
    </xf>
    <xf numFmtId="9" fontId="25" fillId="10" borderId="12" xfId="2" applyFont="1" applyFill="1" applyBorder="1" applyAlignment="1">
      <alignment horizontal="left" vertical="center"/>
    </xf>
    <xf numFmtId="2" fontId="22" fillId="0" borderId="0" xfId="1" applyNumberFormat="1" applyFont="1" applyAlignment="1">
      <alignment horizontal="center" vertical="center"/>
    </xf>
    <xf numFmtId="0" fontId="22" fillId="0" borderId="0" xfId="0" applyFont="1" applyAlignment="1">
      <alignment horizontal="left" vertical="center"/>
    </xf>
    <xf numFmtId="0" fontId="0" fillId="0" borderId="13" xfId="0" applyBorder="1" applyAlignment="1">
      <alignment vertical="center"/>
    </xf>
    <xf numFmtId="0" fontId="0" fillId="0" borderId="15" xfId="0" applyBorder="1" applyAlignment="1">
      <alignment vertical="center"/>
    </xf>
    <xf numFmtId="3" fontId="22" fillId="0" borderId="0" xfId="0" applyNumberFormat="1" applyFont="1" applyAlignment="1">
      <alignment horizontal="left" vertical="center"/>
    </xf>
    <xf numFmtId="0" fontId="6" fillId="3" borderId="9" xfId="0" applyFont="1" applyFill="1" applyBorder="1" applyAlignment="1">
      <alignment horizontal="left" vertical="center"/>
    </xf>
    <xf numFmtId="0" fontId="18" fillId="8" borderId="1" xfId="0" applyFont="1" applyFill="1" applyBorder="1" applyAlignment="1">
      <alignment horizontal="left" vertical="center" wrapText="1"/>
    </xf>
    <xf numFmtId="10" fontId="25" fillId="10" borderId="11" xfId="0" applyNumberFormat="1" applyFont="1" applyFill="1" applyBorder="1" applyAlignment="1">
      <alignment horizontal="left" vertical="center"/>
    </xf>
    <xf numFmtId="0" fontId="22" fillId="0" borderId="11" xfId="0" applyFont="1" applyBorder="1" applyAlignment="1">
      <alignment horizontal="left" vertical="center"/>
    </xf>
    <xf numFmtId="3" fontId="21" fillId="0" borderId="0" xfId="0" applyNumberFormat="1" applyFont="1" applyAlignment="1">
      <alignment horizontal="center" vertical="center"/>
    </xf>
    <xf numFmtId="3" fontId="21" fillId="0" borderId="7" xfId="0" applyNumberFormat="1" applyFont="1" applyBorder="1" applyAlignment="1">
      <alignment horizontal="center" vertical="center"/>
    </xf>
    <xf numFmtId="3" fontId="21" fillId="0" borderId="0" xfId="0" applyNumberFormat="1" applyFont="1" applyAlignment="1">
      <alignment vertical="center"/>
    </xf>
    <xf numFmtId="0" fontId="30" fillId="0" borderId="0" xfId="0" applyFont="1" applyAlignment="1">
      <alignment vertical="center"/>
    </xf>
    <xf numFmtId="2" fontId="25" fillId="10" borderId="12" xfId="2" applyNumberFormat="1" applyFont="1" applyFill="1" applyBorder="1" applyAlignment="1">
      <alignment horizontal="left" vertical="center"/>
    </xf>
    <xf numFmtId="0" fontId="21" fillId="10" borderId="12" xfId="0" applyFont="1" applyFill="1" applyBorder="1" applyAlignment="1">
      <alignment horizontal="center" vertical="center"/>
    </xf>
    <xf numFmtId="10" fontId="25" fillId="10" borderId="12" xfId="0" applyNumberFormat="1" applyFont="1" applyFill="1" applyBorder="1" applyAlignment="1">
      <alignment horizontal="center" vertical="center"/>
    </xf>
    <xf numFmtId="0" fontId="0" fillId="0" borderId="1" xfId="0" applyBorder="1" applyAlignment="1">
      <alignment vertical="center"/>
    </xf>
    <xf numFmtId="0" fontId="14" fillId="0" borderId="0" xfId="0" applyFont="1" applyAlignment="1">
      <alignment vertical="center"/>
    </xf>
    <xf numFmtId="0" fontId="12" fillId="0" borderId="0" xfId="0" applyFont="1" applyAlignment="1">
      <alignment horizontal="left" vertical="center"/>
    </xf>
    <xf numFmtId="0" fontId="31" fillId="0" borderId="0" xfId="0" applyFont="1" applyAlignment="1">
      <alignment horizontal="left" vertical="center"/>
    </xf>
    <xf numFmtId="0" fontId="15" fillId="0" borderId="0" xfId="0" applyFont="1" applyAlignment="1">
      <alignment horizontal="left" vertical="center"/>
    </xf>
    <xf numFmtId="3" fontId="9" fillId="0" borderId="0" xfId="0" applyNumberFormat="1" applyFont="1" applyAlignment="1">
      <alignment horizontal="left" vertical="center" wrapText="1"/>
    </xf>
    <xf numFmtId="0" fontId="22" fillId="10" borderId="11" xfId="0" applyFont="1" applyFill="1" applyBorder="1" applyAlignment="1">
      <alignment horizontal="center" vertical="center"/>
    </xf>
    <xf numFmtId="0" fontId="21" fillId="10" borderId="13" xfId="0" applyFont="1" applyFill="1" applyBorder="1" applyAlignment="1">
      <alignment horizontal="center" vertical="center"/>
    </xf>
    <xf numFmtId="0" fontId="21" fillId="10" borderId="15" xfId="0" applyFont="1" applyFill="1" applyBorder="1" applyAlignment="1">
      <alignment horizontal="center" vertical="center"/>
    </xf>
    <xf numFmtId="0" fontId="30" fillId="0" borderId="5" xfId="0" applyFont="1" applyBorder="1" applyAlignment="1">
      <alignment vertical="center"/>
    </xf>
    <xf numFmtId="0" fontId="12" fillId="0" borderId="1" xfId="0" applyFont="1" applyBorder="1" applyAlignment="1">
      <alignment horizontal="left" vertical="center"/>
    </xf>
    <xf numFmtId="0" fontId="14" fillId="0" borderId="2" xfId="0" applyFont="1" applyBorder="1" applyAlignment="1">
      <alignment vertical="center"/>
    </xf>
    <xf numFmtId="0" fontId="0" fillId="0" borderId="0" xfId="0" applyAlignment="1">
      <alignment horizontal="left" vertical="center"/>
    </xf>
    <xf numFmtId="0" fontId="0" fillId="0" borderId="11" xfId="0" applyBorder="1" applyAlignment="1">
      <alignment vertical="center"/>
    </xf>
    <xf numFmtId="2" fontId="0" fillId="0" borderId="0" xfId="0" applyNumberFormat="1" applyAlignment="1">
      <alignment vertical="center"/>
    </xf>
    <xf numFmtId="0" fontId="0" fillId="0" borderId="3" xfId="0" applyBorder="1" applyAlignment="1">
      <alignment vertical="center"/>
    </xf>
    <xf numFmtId="0" fontId="21" fillId="0" borderId="3" xfId="0" applyFont="1" applyBorder="1" applyAlignment="1">
      <alignment vertical="center"/>
    </xf>
    <xf numFmtId="0" fontId="32" fillId="0" borderId="0" xfId="0" applyFont="1" applyAlignment="1">
      <alignment vertical="center"/>
    </xf>
    <xf numFmtId="0" fontId="5" fillId="0" borderId="0" xfId="0" applyFont="1" applyAlignment="1">
      <alignment vertical="center"/>
    </xf>
    <xf numFmtId="0" fontId="33" fillId="0" borderId="11" xfId="0" applyFont="1" applyBorder="1" applyAlignment="1">
      <alignment horizontal="left" vertical="center"/>
    </xf>
    <xf numFmtId="0" fontId="22" fillId="0" borderId="6" xfId="0" applyFont="1" applyBorder="1" applyAlignment="1">
      <alignment horizontal="left" vertical="center"/>
    </xf>
    <xf numFmtId="0" fontId="22" fillId="0" borderId="5" xfId="0" applyFont="1" applyBorder="1" applyAlignment="1">
      <alignment horizontal="left" vertical="center" wrapText="1"/>
    </xf>
    <xf numFmtId="0" fontId="22" fillId="0" borderId="3" xfId="0" applyFont="1" applyBorder="1" applyAlignment="1">
      <alignment horizontal="left" vertical="center"/>
    </xf>
    <xf numFmtId="0" fontId="21" fillId="0" borderId="6" xfId="0" applyFont="1" applyBorder="1" applyAlignment="1">
      <alignment vertical="center"/>
    </xf>
    <xf numFmtId="3" fontId="21" fillId="0" borderId="0" xfId="0" applyNumberFormat="1" applyFont="1" applyAlignment="1">
      <alignment horizontal="center"/>
    </xf>
    <xf numFmtId="0" fontId="0" fillId="0" borderId="6" xfId="0" applyBorder="1" applyAlignment="1">
      <alignment vertical="center"/>
    </xf>
    <xf numFmtId="0" fontId="21" fillId="0" borderId="2" xfId="0" applyFont="1" applyBorder="1" applyAlignment="1">
      <alignment vertical="center"/>
    </xf>
    <xf numFmtId="3" fontId="21" fillId="0" borderId="0" xfId="0" applyNumberFormat="1" applyFont="1"/>
    <xf numFmtId="10" fontId="21" fillId="0" borderId="0" xfId="0" applyNumberFormat="1" applyFont="1" applyAlignment="1">
      <alignment vertical="center"/>
    </xf>
    <xf numFmtId="2" fontId="25" fillId="11" borderId="12" xfId="0" applyNumberFormat="1" applyFont="1" applyFill="1" applyBorder="1" applyAlignment="1">
      <alignment horizontal="left" vertical="center"/>
    </xf>
    <xf numFmtId="2" fontId="25" fillId="10" borderId="12" xfId="0" applyNumberFormat="1" applyFont="1" applyFill="1" applyBorder="1" applyAlignment="1">
      <alignment horizontal="left" vertical="center"/>
    </xf>
    <xf numFmtId="10" fontId="21" fillId="10" borderId="12" xfId="0" applyNumberFormat="1" applyFont="1" applyFill="1" applyBorder="1" applyAlignment="1">
      <alignment vertical="center"/>
    </xf>
    <xf numFmtId="2" fontId="25" fillId="10" borderId="11" xfId="0" applyNumberFormat="1" applyFont="1" applyFill="1" applyBorder="1" applyAlignment="1">
      <alignment horizontal="left" vertical="center"/>
    </xf>
    <xf numFmtId="0" fontId="0" fillId="0" borderId="8" xfId="0" applyBorder="1" applyAlignment="1">
      <alignment vertical="center"/>
    </xf>
    <xf numFmtId="0" fontId="21" fillId="0" borderId="12" xfId="0" applyFont="1" applyBorder="1" applyAlignment="1">
      <alignment vertical="center"/>
    </xf>
    <xf numFmtId="0" fontId="21" fillId="12" borderId="0" xfId="0" applyFont="1" applyFill="1" applyAlignment="1">
      <alignment vertical="center"/>
    </xf>
    <xf numFmtId="2" fontId="34" fillId="12" borderId="0" xfId="2" applyNumberFormat="1" applyFont="1" applyFill="1" applyAlignment="1">
      <alignment vertical="center"/>
    </xf>
    <xf numFmtId="10" fontId="21" fillId="12" borderId="0" xfId="0" applyNumberFormat="1" applyFont="1" applyFill="1" applyAlignment="1">
      <alignment vertical="center"/>
    </xf>
    <xf numFmtId="2" fontId="26" fillId="12" borderId="0" xfId="0" applyNumberFormat="1" applyFont="1" applyFill="1" applyAlignment="1">
      <alignment vertical="center"/>
    </xf>
    <xf numFmtId="0" fontId="35" fillId="8" borderId="1" xfId="0" applyFont="1" applyFill="1" applyBorder="1" applyAlignment="1">
      <alignment horizontal="left" vertical="center"/>
    </xf>
    <xf numFmtId="0" fontId="22" fillId="0" borderId="6" xfId="0" applyFont="1" applyBorder="1" applyAlignment="1">
      <alignment horizontal="center" vertical="center"/>
    </xf>
    <xf numFmtId="0" fontId="22" fillId="0" borderId="3" xfId="0" applyFont="1" applyBorder="1" applyAlignment="1">
      <alignment horizontal="center" vertical="center"/>
    </xf>
    <xf numFmtId="0" fontId="13" fillId="0" borderId="0" xfId="0" applyFont="1" applyAlignment="1">
      <alignment horizontal="left" vertical="center"/>
    </xf>
    <xf numFmtId="0" fontId="19" fillId="0" borderId="0" xfId="0" applyFont="1" applyAlignment="1">
      <alignment horizontal="left" vertical="center"/>
    </xf>
    <xf numFmtId="0" fontId="12" fillId="0" borderId="0" xfId="0" applyFont="1" applyAlignment="1">
      <alignment horizontal="center" vertical="center"/>
    </xf>
    <xf numFmtId="0" fontId="9" fillId="0" borderId="13" xfId="0" applyFont="1" applyBorder="1" applyAlignment="1">
      <alignment horizontal="center" vertical="center"/>
    </xf>
    <xf numFmtId="2" fontId="15" fillId="0" borderId="0" xfId="0" applyNumberFormat="1" applyFont="1" applyAlignment="1">
      <alignment horizontal="left" vertical="center"/>
    </xf>
    <xf numFmtId="0" fontId="5" fillId="0" borderId="2" xfId="0" applyFont="1" applyBorder="1" applyAlignment="1">
      <alignment vertical="center"/>
    </xf>
    <xf numFmtId="2" fontId="9" fillId="0" borderId="0" xfId="0" applyNumberFormat="1" applyFont="1" applyAlignment="1">
      <alignment horizontal="center" vertical="center"/>
    </xf>
    <xf numFmtId="0" fontId="36" fillId="0" borderId="0" xfId="0" applyFont="1" applyAlignment="1">
      <alignment vertical="center"/>
    </xf>
    <xf numFmtId="0" fontId="22" fillId="0" borderId="1" xfId="0" applyFont="1" applyBorder="1" applyAlignment="1">
      <alignment horizontal="left" vertical="center"/>
    </xf>
    <xf numFmtId="3" fontId="0" fillId="0" borderId="0" xfId="0" applyNumberFormat="1" applyAlignment="1">
      <alignment vertical="center"/>
    </xf>
    <xf numFmtId="0" fontId="33" fillId="0" borderId="5" xfId="0" applyFont="1" applyBorder="1" applyAlignment="1">
      <alignment horizontal="left" vertical="center" wrapText="1"/>
    </xf>
    <xf numFmtId="9" fontId="21" fillId="0" borderId="0" xfId="2" applyFont="1" applyAlignment="1">
      <alignment vertical="center"/>
    </xf>
    <xf numFmtId="0" fontId="0" fillId="0" borderId="12" xfId="0" applyBorder="1" applyAlignment="1">
      <alignment vertical="center"/>
    </xf>
    <xf numFmtId="0" fontId="22" fillId="0" borderId="12" xfId="0" applyFont="1" applyBorder="1" applyAlignment="1">
      <alignment horizontal="left" vertical="center"/>
    </xf>
    <xf numFmtId="3" fontId="5" fillId="0" borderId="0" xfId="0" applyNumberFormat="1" applyFont="1" applyAlignment="1">
      <alignment vertical="center"/>
    </xf>
    <xf numFmtId="12" fontId="15" fillId="0" borderId="0" xfId="0" applyNumberFormat="1" applyFont="1" applyAlignment="1">
      <alignment horizontal="center" vertical="center"/>
    </xf>
    <xf numFmtId="0" fontId="0" fillId="0" borderId="0" xfId="0" applyAlignment="1">
      <alignment horizontal="center" vertical="center"/>
    </xf>
    <xf numFmtId="0" fontId="40" fillId="4" borderId="0" xfId="0" applyFont="1" applyFill="1" applyAlignment="1">
      <alignment vertical="center"/>
    </xf>
    <xf numFmtId="0" fontId="41" fillId="0" borderId="0" xfId="0" applyFont="1" applyAlignment="1">
      <alignment vertical="top"/>
    </xf>
    <xf numFmtId="0" fontId="42" fillId="0" borderId="0" xfId="0" applyFont="1" applyAlignment="1">
      <alignment vertical="top" wrapText="1"/>
    </xf>
    <xf numFmtId="0" fontId="43" fillId="0" borderId="0" xfId="0" applyFont="1"/>
    <xf numFmtId="0" fontId="44" fillId="0" borderId="0" xfId="0" applyFont="1"/>
    <xf numFmtId="0" fontId="15" fillId="0" borderId="8" xfId="0" applyFont="1" applyBorder="1" applyAlignment="1">
      <alignment horizontal="center" vertical="center"/>
    </xf>
    <xf numFmtId="0" fontId="15" fillId="0" borderId="14" xfId="0" applyFont="1" applyBorder="1" applyAlignment="1">
      <alignment horizontal="center" vertical="center"/>
    </xf>
    <xf numFmtId="0" fontId="36" fillId="0" borderId="0" xfId="0" applyFont="1" applyAlignment="1">
      <alignment horizontal="center"/>
    </xf>
    <xf numFmtId="3" fontId="0" fillId="0" borderId="0" xfId="0" applyNumberFormat="1" applyAlignment="1">
      <alignment horizontal="center"/>
    </xf>
    <xf numFmtId="0" fontId="15" fillId="0" borderId="5" xfId="0" applyFont="1" applyBorder="1" applyAlignment="1">
      <alignment horizontal="left" vertical="center"/>
    </xf>
    <xf numFmtId="3" fontId="15" fillId="0" borderId="6" xfId="0" applyNumberFormat="1" applyFont="1" applyBorder="1" applyAlignment="1">
      <alignment horizontal="center" vertical="center"/>
    </xf>
    <xf numFmtId="164" fontId="15" fillId="0" borderId="6" xfId="2" applyNumberFormat="1" applyFont="1" applyBorder="1" applyAlignment="1">
      <alignment horizontal="center" vertical="center"/>
    </xf>
    <xf numFmtId="3" fontId="15" fillId="0" borderId="5" xfId="0" applyNumberFormat="1" applyFont="1" applyBorder="1" applyAlignment="1">
      <alignment horizontal="center" vertical="center"/>
    </xf>
    <xf numFmtId="10" fontId="15" fillId="0" borderId="6" xfId="2" applyNumberFormat="1" applyFont="1" applyBorder="1" applyAlignment="1">
      <alignment horizontal="center" vertical="center"/>
    </xf>
    <xf numFmtId="3" fontId="36" fillId="0" borderId="0" xfId="0" applyNumberFormat="1" applyFont="1" applyAlignment="1">
      <alignment horizontal="center"/>
    </xf>
    <xf numFmtId="164" fontId="0" fillId="0" borderId="6" xfId="2" applyNumberFormat="1" applyFont="1" applyBorder="1" applyAlignment="1">
      <alignment horizontal="center"/>
    </xf>
    <xf numFmtId="164" fontId="9" fillId="0" borderId="6" xfId="2" applyNumberFormat="1" applyFont="1" applyBorder="1" applyAlignment="1">
      <alignment horizontal="center" vertical="center"/>
    </xf>
    <xf numFmtId="10" fontId="0" fillId="0" borderId="6" xfId="0" applyNumberFormat="1" applyBorder="1" applyAlignment="1">
      <alignment horizontal="center"/>
    </xf>
    <xf numFmtId="10" fontId="0" fillId="0" borderId="7" xfId="0" applyNumberFormat="1" applyBorder="1" applyAlignment="1">
      <alignment horizontal="center"/>
    </xf>
    <xf numFmtId="10" fontId="0" fillId="0" borderId="15" xfId="0" applyNumberFormat="1" applyBorder="1" applyAlignment="1">
      <alignment horizontal="center"/>
    </xf>
    <xf numFmtId="0" fontId="0" fillId="0" borderId="13" xfId="0" applyBorder="1" applyAlignment="1">
      <alignment horizontal="center"/>
    </xf>
    <xf numFmtId="10" fontId="0" fillId="0" borderId="12" xfId="0" applyNumberFormat="1" applyBorder="1" applyAlignment="1">
      <alignment horizontal="center"/>
    </xf>
    <xf numFmtId="0" fontId="47" fillId="0" borderId="0" xfId="0" applyFont="1"/>
    <xf numFmtId="0" fontId="50" fillId="0" borderId="0" xfId="0" applyFont="1" applyAlignment="1">
      <alignment vertical="center"/>
    </xf>
    <xf numFmtId="0" fontId="51" fillId="0" borderId="0" xfId="0" applyFont="1" applyAlignment="1">
      <alignment vertical="center"/>
    </xf>
    <xf numFmtId="0" fontId="50" fillId="0" borderId="16" xfId="0" applyFont="1" applyBorder="1" applyAlignment="1">
      <alignment vertical="center"/>
    </xf>
    <xf numFmtId="0" fontId="53" fillId="4" borderId="0" xfId="0" applyFont="1" applyFill="1" applyAlignment="1">
      <alignment vertical="center"/>
    </xf>
    <xf numFmtId="0" fontId="55" fillId="4" borderId="0" xfId="0" applyFont="1" applyFill="1" applyAlignment="1">
      <alignment vertical="center"/>
    </xf>
    <xf numFmtId="0" fontId="55" fillId="0" borderId="0" xfId="0" applyFont="1" applyAlignment="1">
      <alignment vertical="center"/>
    </xf>
    <xf numFmtId="0" fontId="47" fillId="0" borderId="0" xfId="0" applyFont="1" applyAlignment="1">
      <alignment horizontal="left" vertical="center"/>
    </xf>
    <xf numFmtId="0" fontId="4" fillId="0" borderId="0" xfId="0" applyFont="1" applyAlignment="1">
      <alignment vertical="center" wrapText="1"/>
    </xf>
    <xf numFmtId="0" fontId="20" fillId="0" borderId="0" xfId="0" applyFont="1" applyAlignment="1">
      <alignment vertical="center"/>
    </xf>
    <xf numFmtId="0" fontId="0" fillId="0" borderId="2" xfId="0" applyBorder="1" applyAlignment="1">
      <alignment horizontal="center" vertical="center"/>
    </xf>
    <xf numFmtId="0" fontId="59" fillId="0" borderId="0" xfId="4" applyFont="1"/>
    <xf numFmtId="0" fontId="61" fillId="15" borderId="15" xfId="4" applyFont="1" applyFill="1" applyBorder="1"/>
    <xf numFmtId="0" fontId="61" fillId="15" borderId="13" xfId="4" applyFont="1" applyFill="1" applyBorder="1"/>
    <xf numFmtId="0" fontId="37" fillId="15" borderId="11" xfId="4" applyFont="1" applyFill="1" applyBorder="1"/>
    <xf numFmtId="0" fontId="61" fillId="0" borderId="0" xfId="4" applyFont="1"/>
    <xf numFmtId="0" fontId="61" fillId="15" borderId="7" xfId="4" applyFont="1" applyFill="1" applyBorder="1"/>
    <xf numFmtId="0" fontId="61" fillId="15" borderId="0" xfId="4" applyFont="1" applyFill="1"/>
    <xf numFmtId="0" fontId="37" fillId="15" borderId="5" xfId="4" applyFont="1" applyFill="1" applyBorder="1"/>
    <xf numFmtId="0" fontId="64" fillId="15" borderId="5" xfId="4" applyFont="1" applyFill="1" applyBorder="1"/>
    <xf numFmtId="0" fontId="61" fillId="15" borderId="4" xfId="4" applyFont="1" applyFill="1" applyBorder="1"/>
    <xf numFmtId="0" fontId="61" fillId="15" borderId="2" xfId="4" applyFont="1" applyFill="1" applyBorder="1"/>
    <xf numFmtId="0" fontId="60" fillId="15" borderId="1" xfId="4" applyFont="1" applyFill="1" applyBorder="1"/>
    <xf numFmtId="9" fontId="61" fillId="0" borderId="6" xfId="4" applyNumberFormat="1" applyFont="1" applyBorder="1"/>
    <xf numFmtId="10" fontId="61" fillId="0" borderId="15" xfId="4" applyNumberFormat="1" applyFont="1" applyBorder="1"/>
    <xf numFmtId="10" fontId="61" fillId="0" borderId="12" xfId="4" applyNumberFormat="1" applyFont="1" applyBorder="1"/>
    <xf numFmtId="0" fontId="61" fillId="0" borderId="13" xfId="4" applyFont="1" applyBorder="1"/>
    <xf numFmtId="0" fontId="61" fillId="0" borderId="11" xfId="4" applyFont="1" applyBorder="1"/>
    <xf numFmtId="0" fontId="61" fillId="0" borderId="15" xfId="4" applyFont="1" applyBorder="1"/>
    <xf numFmtId="164" fontId="61" fillId="0" borderId="6" xfId="4" applyNumberFormat="1" applyFont="1" applyBorder="1"/>
    <xf numFmtId="2" fontId="61" fillId="0" borderId="7" xfId="4" applyNumberFormat="1" applyFont="1" applyBorder="1"/>
    <xf numFmtId="0" fontId="61" fillId="0" borderId="6" xfId="4" applyFont="1" applyBorder="1" applyAlignment="1">
      <alignment vertical="center" wrapText="1"/>
    </xf>
    <xf numFmtId="0" fontId="61" fillId="0" borderId="5" xfId="4" applyFont="1" applyBorder="1"/>
    <xf numFmtId="2" fontId="61" fillId="0" borderId="6" xfId="4" applyNumberFormat="1" applyFont="1" applyBorder="1"/>
    <xf numFmtId="0" fontId="61" fillId="0" borderId="7" xfId="4" applyFont="1" applyBorder="1"/>
    <xf numFmtId="167" fontId="61" fillId="0" borderId="7" xfId="4" applyNumberFormat="1" applyFont="1" applyBorder="1"/>
    <xf numFmtId="1" fontId="61" fillId="0" borderId="7" xfId="4" applyNumberFormat="1" applyFont="1" applyBorder="1"/>
    <xf numFmtId="0" fontId="61" fillId="0" borderId="6" xfId="4" applyFont="1" applyBorder="1"/>
    <xf numFmtId="0" fontId="61" fillId="0" borderId="1" xfId="4" applyFont="1" applyBorder="1"/>
    <xf numFmtId="0" fontId="61" fillId="0" borderId="8" xfId="4" applyFont="1" applyBorder="1"/>
    <xf numFmtId="0" fontId="65" fillId="16" borderId="10" xfId="4" applyFont="1" applyFill="1" applyBorder="1"/>
    <xf numFmtId="0" fontId="65" fillId="16" borderId="8" xfId="4" applyFont="1" applyFill="1" applyBorder="1"/>
    <xf numFmtId="0" fontId="65" fillId="16" borderId="14" xfId="4" applyFont="1" applyFill="1" applyBorder="1" applyAlignment="1">
      <alignment horizontal="left"/>
    </xf>
    <xf numFmtId="0" fontId="65" fillId="16" borderId="9" xfId="4" applyFont="1" applyFill="1" applyBorder="1" applyAlignment="1">
      <alignment horizontal="left"/>
    </xf>
    <xf numFmtId="0" fontId="65" fillId="16" borderId="10" xfId="4" applyFont="1" applyFill="1" applyBorder="1" applyAlignment="1">
      <alignment horizontal="left"/>
    </xf>
    <xf numFmtId="0" fontId="66" fillId="0" borderId="0" xfId="4" applyFont="1" applyAlignment="1">
      <alignment horizontal="left"/>
    </xf>
    <xf numFmtId="0" fontId="67" fillId="17" borderId="0" xfId="4" applyFont="1" applyFill="1" applyAlignment="1">
      <alignment horizontal="left"/>
    </xf>
    <xf numFmtId="0" fontId="67" fillId="18" borderId="0" xfId="4" applyFont="1" applyFill="1" applyAlignment="1">
      <alignment horizontal="left"/>
    </xf>
    <xf numFmtId="0" fontId="61" fillId="15" borderId="11" xfId="4" applyFont="1" applyFill="1" applyBorder="1"/>
    <xf numFmtId="0" fontId="61" fillId="0" borderId="13" xfId="4" applyFont="1" applyBorder="1" applyAlignment="1">
      <alignment horizontal="left"/>
    </xf>
    <xf numFmtId="0" fontId="61" fillId="0" borderId="11" xfId="4" applyFont="1" applyBorder="1" applyAlignment="1">
      <alignment horizontal="left"/>
    </xf>
    <xf numFmtId="10" fontId="61" fillId="0" borderId="7" xfId="4" applyNumberFormat="1" applyFont="1" applyBorder="1"/>
    <xf numFmtId="10" fontId="61" fillId="0" borderId="6" xfId="4" applyNumberFormat="1" applyFont="1" applyBorder="1"/>
    <xf numFmtId="0" fontId="61" fillId="0" borderId="0" xfId="4" applyFont="1" applyAlignment="1">
      <alignment horizontal="left"/>
    </xf>
    <xf numFmtId="0" fontId="61" fillId="0" borderId="5" xfId="4" applyFont="1" applyBorder="1" applyAlignment="1">
      <alignment horizontal="left"/>
    </xf>
    <xf numFmtId="164" fontId="61" fillId="0" borderId="7" xfId="4" applyNumberFormat="1" applyFont="1" applyBorder="1"/>
    <xf numFmtId="0" fontId="61" fillId="0" borderId="2" xfId="4" applyFont="1" applyBorder="1" applyAlignment="1">
      <alignment horizontal="left"/>
    </xf>
    <xf numFmtId="0" fontId="61" fillId="0" borderId="1" xfId="4" applyFont="1" applyBorder="1" applyAlignment="1">
      <alignment horizontal="left"/>
    </xf>
    <xf numFmtId="0" fontId="61" fillId="16" borderId="14" xfId="4" applyFont="1" applyFill="1" applyBorder="1"/>
    <xf numFmtId="0" fontId="61" fillId="19" borderId="0" xfId="4" applyFont="1" applyFill="1"/>
    <xf numFmtId="0" fontId="61" fillId="19" borderId="0" xfId="4" applyFont="1" applyFill="1" applyAlignment="1">
      <alignment horizontal="right"/>
    </xf>
    <xf numFmtId="0" fontId="68" fillId="0" borderId="0" xfId="4" applyFont="1"/>
    <xf numFmtId="0" fontId="58" fillId="0" borderId="0" xfId="4"/>
    <xf numFmtId="0" fontId="69" fillId="0" borderId="0" xfId="4" applyFont="1" applyAlignment="1">
      <alignment horizontal="center"/>
    </xf>
    <xf numFmtId="0" fontId="70" fillId="0" borderId="0" xfId="4" applyFont="1" applyAlignment="1">
      <alignment horizontal="center"/>
    </xf>
    <xf numFmtId="0" fontId="58" fillId="0" borderId="0" xfId="4" applyAlignment="1">
      <alignment horizontal="center" vertical="center" wrapText="1"/>
    </xf>
    <xf numFmtId="0" fontId="58" fillId="0" borderId="0" xfId="4" applyAlignment="1">
      <alignment vertical="center" wrapText="1"/>
    </xf>
    <xf numFmtId="0" fontId="56" fillId="0" borderId="0" xfId="4" applyFont="1" applyAlignment="1">
      <alignment horizontal="center" vertical="center" wrapText="1"/>
    </xf>
    <xf numFmtId="0" fontId="58" fillId="0" borderId="0" xfId="4" applyAlignment="1">
      <alignment vertical="center"/>
    </xf>
    <xf numFmtId="0" fontId="71" fillId="0" borderId="0" xfId="4" applyFont="1" applyAlignment="1">
      <alignment horizontal="center"/>
    </xf>
    <xf numFmtId="0" fontId="72" fillId="20" borderId="0" xfId="4" applyFont="1" applyFill="1" applyAlignment="1">
      <alignment horizontal="center" vertical="center" wrapText="1"/>
    </xf>
    <xf numFmtId="0" fontId="72" fillId="20" borderId="0" xfId="4" applyFont="1" applyFill="1" applyAlignment="1">
      <alignment horizontal="center" vertical="center"/>
    </xf>
    <xf numFmtId="0" fontId="70" fillId="0" borderId="0" xfId="4" applyFont="1" applyAlignment="1">
      <alignment horizontal="center"/>
    </xf>
    <xf numFmtId="0" fontId="42" fillId="0" borderId="0" xfId="0" applyFont="1" applyAlignment="1">
      <alignment vertical="top" wrapText="1"/>
    </xf>
    <xf numFmtId="0" fontId="1" fillId="3" borderId="0" xfId="0" applyFont="1" applyFill="1" applyAlignment="1">
      <alignment vertical="center"/>
    </xf>
    <xf numFmtId="0" fontId="53" fillId="3" borderId="0" xfId="0" applyFont="1" applyFill="1"/>
    <xf numFmtId="0" fontId="52" fillId="5" borderId="0" xfId="0" applyFont="1" applyFill="1" applyAlignment="1">
      <alignment vertical="top" wrapText="1"/>
    </xf>
    <xf numFmtId="0" fontId="53" fillId="4" borderId="0" xfId="0" applyFont="1" applyFill="1"/>
    <xf numFmtId="0" fontId="53" fillId="2" borderId="0" xfId="0" applyFont="1" applyFill="1"/>
    <xf numFmtId="0" fontId="44" fillId="0" borderId="0" xfId="0" applyFont="1"/>
    <xf numFmtId="0" fontId="45" fillId="0" borderId="0" xfId="0" applyFont="1" applyAlignment="1">
      <alignment wrapText="1"/>
    </xf>
    <xf numFmtId="0" fontId="46" fillId="0" borderId="0" xfId="0" applyFont="1" applyAlignment="1">
      <alignment vertical="center" wrapText="1"/>
    </xf>
    <xf numFmtId="0" fontId="54" fillId="0" borderId="0" xfId="0" applyFont="1" applyAlignment="1">
      <alignment horizontal="left" vertical="center"/>
    </xf>
    <xf numFmtId="0" fontId="48" fillId="13" borderId="0" xfId="0" applyFont="1" applyFill="1" applyAlignment="1">
      <alignment horizontal="left" vertical="center" wrapText="1"/>
    </xf>
    <xf numFmtId="0" fontId="49" fillId="13" borderId="0" xfId="3" applyFill="1" applyBorder="1" applyAlignment="1">
      <alignment horizontal="left" vertical="center" wrapText="1"/>
    </xf>
    <xf numFmtId="0" fontId="45" fillId="0" borderId="0" xfId="0" applyFont="1" applyAlignment="1">
      <alignment horizontal="left" wrapText="1"/>
    </xf>
    <xf numFmtId="0" fontId="42" fillId="0" borderId="0" xfId="0" applyFont="1"/>
    <xf numFmtId="0" fontId="40" fillId="3" borderId="0" xfId="0" applyFont="1" applyFill="1"/>
    <xf numFmtId="0" fontId="42" fillId="0" borderId="0" xfId="0" applyFont="1" applyAlignment="1">
      <alignment wrapText="1"/>
    </xf>
    <xf numFmtId="0" fontId="40" fillId="4" borderId="0" xfId="0" applyFont="1" applyFill="1"/>
    <xf numFmtId="0" fontId="42" fillId="6" borderId="0" xfId="0" applyFont="1" applyFill="1" applyAlignment="1">
      <alignment vertical="top" wrapText="1"/>
    </xf>
    <xf numFmtId="0" fontId="2" fillId="3" borderId="0" xfId="0" applyFont="1" applyFill="1"/>
    <xf numFmtId="0" fontId="4" fillId="2" borderId="0" xfId="0" applyFont="1" applyFill="1" applyAlignment="1">
      <alignment horizontal="center" vertical="center" wrapText="1"/>
    </xf>
    <xf numFmtId="0" fontId="38" fillId="2" borderId="0" xfId="0" applyFont="1" applyFill="1" applyAlignment="1">
      <alignment horizontal="center" vertical="center" wrapText="1"/>
    </xf>
    <xf numFmtId="0" fontId="57" fillId="0" borderId="0" xfId="0" applyFont="1" applyAlignment="1">
      <alignment horizontal="center" vertical="center"/>
    </xf>
    <xf numFmtId="0" fontId="22" fillId="10" borderId="12" xfId="0" applyFont="1" applyFill="1" applyBorder="1" applyAlignment="1">
      <alignment horizontal="center" vertical="center"/>
    </xf>
    <xf numFmtId="0" fontId="21" fillId="12" borderId="0" xfId="0" applyFont="1" applyFill="1" applyAlignment="1">
      <alignment horizontal="left" vertical="center"/>
    </xf>
    <xf numFmtId="0" fontId="21" fillId="10" borderId="12" xfId="0" applyFont="1" applyFill="1" applyBorder="1" applyAlignment="1">
      <alignment horizontal="center" vertical="center"/>
    </xf>
    <xf numFmtId="0" fontId="12" fillId="0" borderId="13" xfId="0" applyFont="1" applyBorder="1" applyAlignment="1">
      <alignment horizontal="center" vertical="center"/>
    </xf>
    <xf numFmtId="0" fontId="22" fillId="10" borderId="12" xfId="0" applyFont="1" applyFill="1" applyBorder="1" applyAlignment="1">
      <alignment horizontal="left" vertical="center"/>
    </xf>
    <xf numFmtId="0" fontId="3" fillId="2" borderId="0" xfId="0" applyFont="1" applyFill="1" applyAlignment="1">
      <alignment horizontal="center" vertical="center" wrapText="1"/>
    </xf>
    <xf numFmtId="0" fontId="73" fillId="21" borderId="0" xfId="4" applyFont="1" applyFill="1" applyAlignment="1">
      <alignment horizontal="center"/>
    </xf>
    <xf numFmtId="0" fontId="60" fillId="14" borderId="0" xfId="4" applyFont="1" applyFill="1" applyAlignment="1">
      <alignment horizontal="center"/>
    </xf>
    <xf numFmtId="0" fontId="59" fillId="0" borderId="0" xfId="4" applyFont="1" applyAlignment="1">
      <alignment horizontal="center" vertical="top"/>
    </xf>
    <xf numFmtId="0" fontId="67" fillId="19" borderId="0" xfId="4" applyFont="1" applyFill="1" applyAlignment="1">
      <alignment horizontal="left"/>
    </xf>
    <xf numFmtId="0" fontId="74" fillId="18" borderId="0" xfId="0" applyFont="1" applyFill="1" applyAlignment="1">
      <alignment horizontal="center" vertical="center"/>
    </xf>
    <xf numFmtId="0" fontId="4" fillId="2" borderId="0" xfId="0" applyFont="1" applyFill="1" applyAlignment="1">
      <alignment horizontal="center" vertical="center"/>
    </xf>
    <xf numFmtId="0" fontId="13" fillId="7" borderId="0" xfId="0" applyFont="1" applyFill="1" applyAlignment="1">
      <alignment horizontal="center" vertical="center"/>
    </xf>
  </cellXfs>
  <cellStyles count="5">
    <cellStyle name="Comma" xfId="1" builtinId="3"/>
    <cellStyle name="Hyperlink" xfId="3" builtinId="8"/>
    <cellStyle name="Normal" xfId="0" builtinId="0"/>
    <cellStyle name="Normal 2" xfId="4" xr:uid="{755E3272-A2D7-4A32-ABB7-DBF5F19C4DA7}"/>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B"/>
      <rgbColor rgb="FFBFBFBF"/>
      <rgbColor rgb="FF767171"/>
      <rgbColor rgb="FF8FAADC"/>
      <rgbColor rgb="FF595959"/>
      <rgbColor rgb="FFF6FAFA"/>
      <rgbColor rgb="FFEAF4F4"/>
      <rgbColor rgb="FF660066"/>
      <rgbColor rgb="FFFF8080"/>
      <rgbColor rgb="FF2F5597"/>
      <rgbColor rgb="FFB4C7E7"/>
      <rgbColor rgb="FF000080"/>
      <rgbColor rgb="FFFF00FF"/>
      <rgbColor rgb="FFFFFF00"/>
      <rgbColor rgb="FF00FFFF"/>
      <rgbColor rgb="FF800080"/>
      <rgbColor rgb="FF800000"/>
      <rgbColor rgb="FF008080"/>
      <rgbColor rgb="FF0000FF"/>
      <rgbColor rgb="FF00CCFF"/>
      <rgbColor rgb="FFDAE3F3"/>
      <rgbColor rgb="FFEAEAEA"/>
      <rgbColor rgb="FFD6DCE5"/>
      <rgbColor rgb="FFADB9CA"/>
      <rgbColor rgb="FFFF99CC"/>
      <rgbColor rgb="FFCC99FF"/>
      <rgbColor rgb="FFD9D9D9"/>
      <rgbColor rgb="FF3366FF"/>
      <rgbColor rgb="FF33CCCC"/>
      <rgbColor rgb="FF99CC00"/>
      <rgbColor rgb="FFFFCC00"/>
      <rgbColor rgb="FFFF9900"/>
      <rgbColor rgb="FFED7D31"/>
      <rgbColor rgb="FF64748B"/>
      <rgbColor rgb="FF70AD47"/>
      <rgbColor rgb="FF123B5D"/>
      <rgbColor rgb="FF2A9D8F"/>
      <rgbColor rgb="FF18323F"/>
      <rgbColor rgb="FF404040"/>
      <rgbColor rgb="FF993300"/>
      <rgbColor rgb="FF454545"/>
      <rgbColor rgb="FF203864"/>
      <rgbColor rgb="FF3B383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accent1">
                    <a:lumMod val="50000"/>
                  </a:schemeClr>
                </a:solidFill>
              </a:rPr>
              <a:t>Profitability Comparison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118630198431542E-2"/>
          <c:y val="0.17013968554569611"/>
          <c:w val="0.90154976837957135"/>
          <c:h val="0.69214616604404589"/>
        </c:manualLayout>
      </c:layout>
      <c:barChart>
        <c:barDir val="col"/>
        <c:grouping val="clustered"/>
        <c:varyColors val="0"/>
        <c:ser>
          <c:idx val="0"/>
          <c:order val="0"/>
          <c:tx>
            <c:v>2021</c:v>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&amp; Interpretation'!$B$6:$B$8</c:f>
              <c:strCache>
                <c:ptCount val="3"/>
                <c:pt idx="0">
                  <c:v>Gross Profit Margin</c:v>
                </c:pt>
                <c:pt idx="1">
                  <c:v>Operating Margin</c:v>
                </c:pt>
                <c:pt idx="2">
                  <c:v>Net Profit Margin</c:v>
                </c:pt>
              </c:strCache>
            </c:strRef>
          </c:cat>
          <c:val>
            <c:numRef>
              <c:f>'Ratio Analysis &amp; Interpretation'!$O$6:$O$8</c:f>
              <c:numCache>
                <c:formatCode>0.0%</c:formatCode>
                <c:ptCount val="3"/>
                <c:pt idx="0">
                  <c:v>0.42302265273434519</c:v>
                </c:pt>
                <c:pt idx="1">
                  <c:v>0.16592937228281596</c:v>
                </c:pt>
                <c:pt idx="2">
                  <c:v>0.12624895126229882</c:v>
                </c:pt>
              </c:numCache>
            </c:numRef>
          </c:val>
          <c:extLst>
            <c:ext xmlns:c16="http://schemas.microsoft.com/office/drawing/2014/chart" uri="{C3380CC4-5D6E-409C-BE32-E72D297353CC}">
              <c16:uniqueId val="{00000000-2F7F-48AF-BAA4-A48F3BD63030}"/>
            </c:ext>
          </c:extLst>
        </c:ser>
        <c:ser>
          <c:idx val="1"/>
          <c:order val="1"/>
          <c:tx>
            <c:v>2020</c:v>
          </c:tx>
          <c:spPr>
            <a:solidFill>
              <a:schemeClr val="accent1">
                <a:lumMod val="40000"/>
                <a:lumOff val="60000"/>
              </a:schemeClr>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7F-48AF-BAA4-A48F3BD63030}"/>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7F-48AF-BAA4-A48F3BD63030}"/>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7F-48AF-BAA4-A48F3BD630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&amp; Interpretation'!$B$6:$B$8</c:f>
              <c:strCache>
                <c:ptCount val="3"/>
                <c:pt idx="0">
                  <c:v>Gross Profit Margin</c:v>
                </c:pt>
                <c:pt idx="1">
                  <c:v>Operating Margin</c:v>
                </c:pt>
                <c:pt idx="2">
                  <c:v>Net Profit Margin</c:v>
                </c:pt>
              </c:strCache>
            </c:strRef>
          </c:cat>
          <c:val>
            <c:numRef>
              <c:f>'Ratio Analysis &amp; Interpretation'!$P$6:$P$8</c:f>
              <c:numCache>
                <c:formatCode>0.0%</c:formatCode>
                <c:ptCount val="3"/>
                <c:pt idx="0">
                  <c:v>0.43450831953315983</c:v>
                </c:pt>
                <c:pt idx="1">
                  <c:v>0.16368977209999211</c:v>
                </c:pt>
                <c:pt idx="2">
                  <c:v>0.1197263622742686</c:v>
                </c:pt>
              </c:numCache>
            </c:numRef>
          </c:val>
          <c:extLst>
            <c:ext xmlns:c16="http://schemas.microsoft.com/office/drawing/2014/chart" uri="{C3380CC4-5D6E-409C-BE32-E72D297353CC}">
              <c16:uniqueId val="{00000004-2F7F-48AF-BAA4-A48F3BD63030}"/>
            </c:ext>
          </c:extLst>
        </c:ser>
        <c:dLbls>
          <c:showLegendKey val="0"/>
          <c:showVal val="0"/>
          <c:showCatName val="0"/>
          <c:showSerName val="0"/>
          <c:showPercent val="0"/>
          <c:showBubbleSize val="0"/>
        </c:dLbls>
        <c:gapWidth val="219"/>
        <c:overlap val="-27"/>
        <c:axId val="657776719"/>
        <c:axId val="657768079"/>
      </c:barChart>
      <c:catAx>
        <c:axId val="65777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57768079"/>
        <c:crosses val="autoZero"/>
        <c:auto val="1"/>
        <c:lblAlgn val="ctr"/>
        <c:lblOffset val="100"/>
        <c:noMultiLvlLbl val="0"/>
      </c:catAx>
      <c:valAx>
        <c:axId val="657768079"/>
        <c:scaling>
          <c:orientation val="minMax"/>
        </c:scaling>
        <c:delete val="0"/>
        <c:axPos val="l"/>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7776719"/>
        <c:crosses val="autoZero"/>
        <c:crossBetween val="between"/>
      </c:valAx>
      <c:spPr>
        <a:noFill/>
        <a:ln>
          <a:noFill/>
        </a:ln>
        <a:effectLst/>
      </c:spPr>
    </c:plotArea>
    <c:legend>
      <c:legendPos val="b"/>
      <c:layout>
        <c:manualLayout>
          <c:xMode val="edge"/>
          <c:yMode val="edge"/>
          <c:x val="7.6129179221023052E-2"/>
          <c:y val="4.0378144691149899E-2"/>
          <c:w val="0.15196508764686548"/>
          <c:h val="7.675591270160905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50000"/>
                  </a:schemeClr>
                </a:solidFill>
              </a:rPr>
              <a:t>Working Capital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7525955374784558E-2"/>
          <c:y val="0.15734833139143356"/>
          <c:w val="0.90111121866435084"/>
          <c:h val="0.71115487808788791"/>
        </c:manualLayout>
      </c:layout>
      <c:barChart>
        <c:barDir val="col"/>
        <c:grouping val="clustered"/>
        <c:varyColors val="0"/>
        <c:ser>
          <c:idx val="0"/>
          <c:order val="0"/>
          <c:tx>
            <c:v>2021</c:v>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&amp; Interpretation'!$B$22:$B$24</c:f>
              <c:strCache>
                <c:ptCount val="3"/>
                <c:pt idx="0">
                  <c:v>Inventory Days</c:v>
                </c:pt>
                <c:pt idx="1">
                  <c:v>Receivable Days</c:v>
                </c:pt>
                <c:pt idx="2">
                  <c:v>Payable Days</c:v>
                </c:pt>
              </c:strCache>
            </c:strRef>
          </c:cat>
          <c:val>
            <c:numRef>
              <c:f>'Ratio Analysis &amp; Interpretation'!$H$22:$H$24</c:f>
              <c:numCache>
                <c:formatCode>0.00</c:formatCode>
                <c:ptCount val="3"/>
                <c:pt idx="0">
                  <c:v>55</c:v>
                </c:pt>
                <c:pt idx="1">
                  <c:v>36</c:v>
                </c:pt>
                <c:pt idx="2" formatCode="General">
                  <c:v>175</c:v>
                </c:pt>
              </c:numCache>
            </c:numRef>
          </c:val>
          <c:extLst>
            <c:ext xmlns:c16="http://schemas.microsoft.com/office/drawing/2014/chart" uri="{C3380CC4-5D6E-409C-BE32-E72D297353CC}">
              <c16:uniqueId val="{00000000-2A1F-4819-83C3-E092EAA1AF54}"/>
            </c:ext>
          </c:extLst>
        </c:ser>
        <c:ser>
          <c:idx val="1"/>
          <c:order val="1"/>
          <c:tx>
            <c:v>2020</c:v>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'Ratio Analysis &amp; Interpretation'!$B$22:$B$24</c:f>
              <c:strCache>
                <c:ptCount val="3"/>
                <c:pt idx="0">
                  <c:v>Inventory Days</c:v>
                </c:pt>
                <c:pt idx="1">
                  <c:v>Receivable Days</c:v>
                </c:pt>
                <c:pt idx="2">
                  <c:v>Payable Days</c:v>
                </c:pt>
              </c:strCache>
            </c:strRef>
          </c:cat>
          <c:val>
            <c:numRef>
              <c:f>'Ratio Analysis &amp; Interpretation'!$I$22:$I$24</c:f>
              <c:numCache>
                <c:formatCode>0.00</c:formatCode>
                <c:ptCount val="3"/>
                <c:pt idx="0">
                  <c:v>55</c:v>
                </c:pt>
                <c:pt idx="1">
                  <c:v>42</c:v>
                </c:pt>
                <c:pt idx="2" formatCode="0">
                  <c:v>177</c:v>
                </c:pt>
              </c:numCache>
            </c:numRef>
          </c:val>
          <c:extLst>
            <c:ext xmlns:c16="http://schemas.microsoft.com/office/drawing/2014/chart" uri="{C3380CC4-5D6E-409C-BE32-E72D297353CC}">
              <c16:uniqueId val="{00000001-2A1F-4819-83C3-E092EAA1AF54}"/>
            </c:ext>
          </c:extLst>
        </c:ser>
        <c:dLbls>
          <c:showLegendKey val="0"/>
          <c:showVal val="0"/>
          <c:showCatName val="0"/>
          <c:showSerName val="0"/>
          <c:showPercent val="0"/>
          <c:showBubbleSize val="0"/>
        </c:dLbls>
        <c:gapWidth val="150"/>
        <c:axId val="514705711"/>
        <c:axId val="514714351"/>
      </c:barChart>
      <c:catAx>
        <c:axId val="514705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14714351"/>
        <c:crosses val="autoZero"/>
        <c:auto val="1"/>
        <c:lblAlgn val="ctr"/>
        <c:lblOffset val="100"/>
        <c:noMultiLvlLbl val="0"/>
      </c:catAx>
      <c:valAx>
        <c:axId val="514714351"/>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05711"/>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2891426429987993"/>
          <c:y val="4.1463853025254842E-2"/>
          <c:w val="0.14538780134555357"/>
          <c:h val="7.56700991524005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361079</xdr:colOff>
      <xdr:row>34</xdr:row>
      <xdr:rowOff>124510</xdr:rowOff>
    </xdr:from>
    <xdr:ext cx="10197352" cy="843693"/>
    <xdr:sp macro="" textlink="">
      <xdr:nvSpPr>
        <xdr:cNvPr id="2" name="TextBox 1">
          <a:extLst>
            <a:ext uri="{FF2B5EF4-FFF2-40B4-BE49-F238E27FC236}">
              <a16:creationId xmlns:a16="http://schemas.microsoft.com/office/drawing/2014/main" id="{C29DC6BA-1906-48D7-B143-52B3EE9444CC}"/>
            </a:ext>
          </a:extLst>
        </xdr:cNvPr>
        <xdr:cNvSpPr txBox="1"/>
      </xdr:nvSpPr>
      <xdr:spPr>
        <a:xfrm>
          <a:off x="2342279" y="7014260"/>
          <a:ext cx="10197352"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i="1"/>
            <a:t>Unilever demonstrates stable profitability, disciplined working capital management, and strong capital efficiency. Margins remain resilient while leverage and liquidity are maintained at manageable levels, reflecting operational strength in the FMCG sector.</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7</xdr:col>
      <xdr:colOff>58795</xdr:colOff>
      <xdr:row>10</xdr:row>
      <xdr:rowOff>23518</xdr:rowOff>
    </xdr:from>
    <xdr:to>
      <xdr:col>13</xdr:col>
      <xdr:colOff>362633</xdr:colOff>
      <xdr:row>26</xdr:row>
      <xdr:rowOff>89739</xdr:rowOff>
    </xdr:to>
    <xdr:sp macro="" textlink="">
      <xdr:nvSpPr>
        <xdr:cNvPr id="2" name="Rectangle: Rounded Corners 1">
          <a:extLst>
            <a:ext uri="{FF2B5EF4-FFF2-40B4-BE49-F238E27FC236}">
              <a16:creationId xmlns:a16="http://schemas.microsoft.com/office/drawing/2014/main" id="{561D7D16-6081-4E2E-886F-ED097DDB84A2}"/>
            </a:ext>
          </a:extLst>
        </xdr:cNvPr>
        <xdr:cNvSpPr/>
      </xdr:nvSpPr>
      <xdr:spPr>
        <a:xfrm>
          <a:off x="4681595" y="2188868"/>
          <a:ext cx="4266238" cy="3215821"/>
        </a:xfrm>
        <a:prstGeom prst="roundRect">
          <a:avLst>
            <a:gd name="adj" fmla="val 4554"/>
          </a:avLst>
        </a:prstGeom>
        <a:solidFill>
          <a:srgbClr val="F9F9F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300436</xdr:colOff>
      <xdr:row>10</xdr:row>
      <xdr:rowOff>16933</xdr:rowOff>
    </xdr:from>
    <xdr:to>
      <xdr:col>6</xdr:col>
      <xdr:colOff>604274</xdr:colOff>
      <xdr:row>26</xdr:row>
      <xdr:rowOff>83154</xdr:rowOff>
    </xdr:to>
    <xdr:sp macro="" textlink="">
      <xdr:nvSpPr>
        <xdr:cNvPr id="3" name="Rectangle: Rounded Corners 2">
          <a:extLst>
            <a:ext uri="{FF2B5EF4-FFF2-40B4-BE49-F238E27FC236}">
              <a16:creationId xmlns:a16="http://schemas.microsoft.com/office/drawing/2014/main" id="{0D152076-42D5-496B-B058-72AC353BEEB3}"/>
            </a:ext>
          </a:extLst>
        </xdr:cNvPr>
        <xdr:cNvSpPr/>
      </xdr:nvSpPr>
      <xdr:spPr>
        <a:xfrm>
          <a:off x="300436" y="2182283"/>
          <a:ext cx="4266238" cy="3215821"/>
        </a:xfrm>
        <a:prstGeom prst="roundRect">
          <a:avLst>
            <a:gd name="adj" fmla="val 4554"/>
          </a:avLst>
        </a:prstGeom>
        <a:solidFill>
          <a:srgbClr val="F9F9F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302483</xdr:colOff>
      <xdr:row>1</xdr:row>
      <xdr:rowOff>128984</xdr:rowOff>
    </xdr:from>
    <xdr:to>
      <xdr:col>2</xdr:col>
      <xdr:colOff>431467</xdr:colOff>
      <xdr:row>6</xdr:row>
      <xdr:rowOff>178594</xdr:rowOff>
    </xdr:to>
    <xdr:sp macro="" textlink="">
      <xdr:nvSpPr>
        <xdr:cNvPr id="4" name="Rectangle: Rounded Corners 3">
          <a:extLst>
            <a:ext uri="{FF2B5EF4-FFF2-40B4-BE49-F238E27FC236}">
              <a16:creationId xmlns:a16="http://schemas.microsoft.com/office/drawing/2014/main" id="{1430564A-CEA3-48C2-86E5-70BE27B969CA}"/>
            </a:ext>
          </a:extLst>
        </xdr:cNvPr>
        <xdr:cNvSpPr/>
      </xdr:nvSpPr>
      <xdr:spPr>
        <a:xfrm>
          <a:off x="302483" y="522684"/>
          <a:ext cx="1449784" cy="1033860"/>
        </a:xfrm>
        <a:prstGeom prst="roundRect">
          <a:avLst>
            <a:gd name="adj" fmla="val 11310"/>
          </a:avLst>
        </a:prstGeom>
        <a:gradFill>
          <a:gsLst>
            <a:gs pos="41000">
              <a:schemeClr val="accent1">
                <a:lumMod val="40000"/>
                <a:lumOff val="60000"/>
              </a:schemeClr>
            </a:gs>
            <a:gs pos="41000">
              <a:schemeClr val="bg1"/>
            </a:gs>
            <a:gs pos="100000">
              <a:schemeClr val="bg1">
                <a:lumMod val="95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IN" sz="1400" b="1">
              <a:solidFill>
                <a:schemeClr val="tx1"/>
              </a:solidFill>
            </a:rPr>
            <a:t>Revenue (2021)</a:t>
          </a:r>
        </a:p>
        <a:p>
          <a:pPr algn="l"/>
          <a:endParaRPr lang="en-IN" sz="1100"/>
        </a:p>
        <a:p>
          <a:pPr algn="ctr"/>
          <a:r>
            <a:rPr lang="en-IN" sz="1600" b="1">
              <a:solidFill>
                <a:schemeClr val="tx1"/>
              </a:solidFill>
            </a:rPr>
            <a:t>52,444 million</a:t>
          </a:r>
          <a:endParaRPr lang="en-IN" sz="1100" b="1"/>
        </a:p>
        <a:p>
          <a:pPr algn="ctr"/>
          <a:r>
            <a:rPr lang="en-IN" sz="1100">
              <a:solidFill>
                <a:schemeClr val="accent6"/>
              </a:solidFill>
            </a:rPr>
            <a:t>+3.4% vs 2020</a:t>
          </a:r>
        </a:p>
        <a:p>
          <a:pPr algn="l"/>
          <a:endParaRPr lang="en-IN" sz="1100"/>
        </a:p>
      </xdr:txBody>
    </xdr:sp>
    <xdr:clientData/>
  </xdr:twoCellAnchor>
  <xdr:twoCellAnchor>
    <xdr:from>
      <xdr:col>3</xdr:col>
      <xdr:colOff>15653</xdr:colOff>
      <xdr:row>1</xdr:row>
      <xdr:rowOff>116253</xdr:rowOff>
    </xdr:from>
    <xdr:to>
      <xdr:col>5</xdr:col>
      <xdr:colOff>144636</xdr:colOff>
      <xdr:row>6</xdr:row>
      <xdr:rowOff>165863</xdr:rowOff>
    </xdr:to>
    <xdr:sp macro="" textlink="">
      <xdr:nvSpPr>
        <xdr:cNvPr id="5" name="Rectangle: Rounded Corners 4">
          <a:extLst>
            <a:ext uri="{FF2B5EF4-FFF2-40B4-BE49-F238E27FC236}">
              <a16:creationId xmlns:a16="http://schemas.microsoft.com/office/drawing/2014/main" id="{DAA082FF-E328-424C-B01C-FAC217509C3E}"/>
            </a:ext>
          </a:extLst>
        </xdr:cNvPr>
        <xdr:cNvSpPr/>
      </xdr:nvSpPr>
      <xdr:spPr>
        <a:xfrm>
          <a:off x="1996853" y="509953"/>
          <a:ext cx="1449783" cy="1033860"/>
        </a:xfrm>
        <a:prstGeom prst="roundRect">
          <a:avLst>
            <a:gd name="adj" fmla="val 11310"/>
          </a:avLst>
        </a:prstGeom>
        <a:gradFill>
          <a:gsLst>
            <a:gs pos="41000">
              <a:schemeClr val="accent1">
                <a:lumMod val="40000"/>
                <a:lumOff val="60000"/>
              </a:schemeClr>
            </a:gs>
            <a:gs pos="41000">
              <a:schemeClr val="bg1"/>
            </a:gs>
            <a:gs pos="100000">
              <a:schemeClr val="bg1">
                <a:lumMod val="95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IN" sz="1400" b="1">
              <a:solidFill>
                <a:schemeClr val="tx1"/>
              </a:solidFill>
            </a:rPr>
            <a:t>Net Profit</a:t>
          </a:r>
        </a:p>
        <a:p>
          <a:pPr algn="l"/>
          <a:endParaRPr lang="en-IN" sz="1100"/>
        </a:p>
        <a:p>
          <a:pPr algn="ctr"/>
          <a:r>
            <a:rPr lang="en-IN" sz="1600" b="1">
              <a:solidFill>
                <a:schemeClr val="tx1"/>
              </a:solidFill>
              <a:latin typeface="+mn-lt"/>
              <a:ea typeface="+mn-ea"/>
              <a:cs typeface="+mn-cs"/>
            </a:rPr>
            <a:t>6,621 million</a:t>
          </a:r>
          <a:br>
            <a:rPr lang="en-IN">
              <a:solidFill>
                <a:schemeClr val="tx1"/>
              </a:solidFill>
            </a:rPr>
          </a:br>
          <a:r>
            <a:rPr lang="en-IN" sz="1100">
              <a:solidFill>
                <a:schemeClr val="accent6"/>
              </a:solidFill>
              <a:latin typeface="+mn-lt"/>
              <a:ea typeface="+mn-ea"/>
              <a:cs typeface="+mn-cs"/>
            </a:rPr>
            <a:t>+9.8% vs 2020</a:t>
          </a:r>
          <a:endParaRPr lang="en-IN" sz="1100">
            <a:solidFill>
              <a:schemeClr val="accent6"/>
            </a:solidFill>
          </a:endParaRPr>
        </a:p>
      </xdr:txBody>
    </xdr:sp>
    <xdr:clientData/>
  </xdr:twoCellAnchor>
  <xdr:twoCellAnchor>
    <xdr:from>
      <xdr:col>5</xdr:col>
      <xdr:colOff>825955</xdr:colOff>
      <xdr:row>1</xdr:row>
      <xdr:rowOff>122218</xdr:rowOff>
    </xdr:from>
    <xdr:to>
      <xdr:col>7</xdr:col>
      <xdr:colOff>954937</xdr:colOff>
      <xdr:row>6</xdr:row>
      <xdr:rowOff>171828</xdr:rowOff>
    </xdr:to>
    <xdr:sp macro="" textlink="">
      <xdr:nvSpPr>
        <xdr:cNvPr id="6" name="Rectangle: Rounded Corners 5">
          <a:extLst>
            <a:ext uri="{FF2B5EF4-FFF2-40B4-BE49-F238E27FC236}">
              <a16:creationId xmlns:a16="http://schemas.microsoft.com/office/drawing/2014/main" id="{1C4FF211-90FD-4AC7-8F61-7BA3B740FA8F}"/>
            </a:ext>
          </a:extLst>
        </xdr:cNvPr>
        <xdr:cNvSpPr/>
      </xdr:nvSpPr>
      <xdr:spPr>
        <a:xfrm>
          <a:off x="3962855" y="515918"/>
          <a:ext cx="1322782" cy="1033860"/>
        </a:xfrm>
        <a:prstGeom prst="roundRect">
          <a:avLst>
            <a:gd name="adj" fmla="val 11310"/>
          </a:avLst>
        </a:prstGeom>
        <a:gradFill>
          <a:gsLst>
            <a:gs pos="41000">
              <a:schemeClr val="accent1">
                <a:lumMod val="40000"/>
                <a:lumOff val="60000"/>
              </a:schemeClr>
            </a:gs>
            <a:gs pos="41000">
              <a:schemeClr val="bg1"/>
            </a:gs>
            <a:gs pos="100000">
              <a:schemeClr val="bg1">
                <a:lumMod val="95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IN" sz="1400" b="1">
              <a:solidFill>
                <a:schemeClr val="tx1"/>
              </a:solidFill>
            </a:rPr>
            <a:t>Gross Margin</a:t>
          </a:r>
        </a:p>
        <a:p>
          <a:pPr algn="l"/>
          <a:endParaRPr lang="en-IN" sz="1100"/>
        </a:p>
        <a:p>
          <a:pPr algn="ctr"/>
          <a:r>
            <a:rPr lang="en-IN" sz="1600" b="1">
              <a:solidFill>
                <a:schemeClr val="tx1"/>
              </a:solidFill>
              <a:latin typeface="+mn-lt"/>
              <a:ea typeface="+mn-ea"/>
              <a:cs typeface="+mn-cs"/>
            </a:rPr>
            <a:t>42.3%</a:t>
          </a:r>
          <a:br>
            <a:rPr lang="en-IN">
              <a:solidFill>
                <a:schemeClr val="tx1"/>
              </a:solidFill>
            </a:rPr>
          </a:br>
          <a:r>
            <a:rPr lang="en-IN" sz="1100">
              <a:solidFill>
                <a:srgbClr val="FF0000"/>
              </a:solidFill>
              <a:latin typeface="+mn-lt"/>
              <a:ea typeface="+mn-ea"/>
              <a:cs typeface="+mn-cs"/>
            </a:rPr>
            <a:t>-1.1% vs 2020</a:t>
          </a:r>
          <a:endParaRPr lang="en-IN" sz="1100">
            <a:solidFill>
              <a:srgbClr val="FF0000"/>
            </a:solidFill>
          </a:endParaRPr>
        </a:p>
      </xdr:txBody>
    </xdr:sp>
    <xdr:clientData/>
  </xdr:twoCellAnchor>
  <xdr:twoCellAnchor>
    <xdr:from>
      <xdr:col>8</xdr:col>
      <xdr:colOff>595509</xdr:colOff>
      <xdr:row>1</xdr:row>
      <xdr:rowOff>123131</xdr:rowOff>
    </xdr:from>
    <xdr:to>
      <xdr:col>10</xdr:col>
      <xdr:colOff>730665</xdr:colOff>
      <xdr:row>6</xdr:row>
      <xdr:rowOff>172392</xdr:rowOff>
    </xdr:to>
    <xdr:sp macro="" textlink="">
      <xdr:nvSpPr>
        <xdr:cNvPr id="7" name="Rectangle: Rounded Corners 6">
          <a:extLst>
            <a:ext uri="{FF2B5EF4-FFF2-40B4-BE49-F238E27FC236}">
              <a16:creationId xmlns:a16="http://schemas.microsoft.com/office/drawing/2014/main" id="{E88DB0A2-FD81-437A-8954-492F2FB372FD}"/>
            </a:ext>
          </a:extLst>
        </xdr:cNvPr>
        <xdr:cNvSpPr/>
      </xdr:nvSpPr>
      <xdr:spPr>
        <a:xfrm>
          <a:off x="5878709" y="516831"/>
          <a:ext cx="1386106" cy="1033511"/>
        </a:xfrm>
        <a:prstGeom prst="roundRect">
          <a:avLst>
            <a:gd name="adj" fmla="val 11310"/>
          </a:avLst>
        </a:prstGeom>
        <a:gradFill>
          <a:gsLst>
            <a:gs pos="41000">
              <a:schemeClr val="accent1">
                <a:lumMod val="40000"/>
                <a:lumOff val="60000"/>
              </a:schemeClr>
            </a:gs>
            <a:gs pos="41000">
              <a:schemeClr val="bg1"/>
            </a:gs>
            <a:gs pos="100000">
              <a:schemeClr val="bg1">
                <a:lumMod val="95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IN" sz="1400" b="1">
              <a:solidFill>
                <a:sysClr val="windowText" lastClr="000000"/>
              </a:solidFill>
            </a:rPr>
            <a:t>ROCE</a:t>
          </a:r>
        </a:p>
        <a:p>
          <a:pPr algn="l"/>
          <a:endParaRPr lang="en-IN" sz="1100"/>
        </a:p>
        <a:p>
          <a:pPr algn="ctr"/>
          <a:r>
            <a:rPr lang="en-IN" sz="1600" b="1">
              <a:solidFill>
                <a:sysClr val="windowText" lastClr="000000"/>
              </a:solidFill>
              <a:latin typeface="+mn-lt"/>
              <a:ea typeface="+mn-ea"/>
              <a:cs typeface="+mn-cs"/>
            </a:rPr>
            <a:t>17.29%</a:t>
          </a:r>
          <a:br>
            <a:rPr lang="en-IN">
              <a:solidFill>
                <a:sysClr val="windowText" lastClr="000000"/>
              </a:solidFill>
            </a:rPr>
          </a:br>
          <a:r>
            <a:rPr lang="en-IN" sz="1100">
              <a:solidFill>
                <a:srgbClr val="FF0000"/>
              </a:solidFill>
              <a:latin typeface="+mn-lt"/>
              <a:ea typeface="+mn-ea"/>
              <a:cs typeface="+mn-cs"/>
            </a:rPr>
            <a:t>-0.3 pts</a:t>
          </a:r>
          <a:endParaRPr lang="en-IN" sz="1100">
            <a:solidFill>
              <a:srgbClr val="FF0000"/>
            </a:solidFill>
          </a:endParaRPr>
        </a:p>
      </xdr:txBody>
    </xdr:sp>
    <xdr:clientData/>
  </xdr:twoCellAnchor>
  <xdr:twoCellAnchor>
    <xdr:from>
      <xdr:col>11</xdr:col>
      <xdr:colOff>305336</xdr:colOff>
      <xdr:row>1</xdr:row>
      <xdr:rowOff>126597</xdr:rowOff>
    </xdr:from>
    <xdr:to>
      <xdr:col>13</xdr:col>
      <xdr:colOff>435468</xdr:colOff>
      <xdr:row>6</xdr:row>
      <xdr:rowOff>175858</xdr:rowOff>
    </xdr:to>
    <xdr:sp macro="" textlink="">
      <xdr:nvSpPr>
        <xdr:cNvPr id="8" name="Rectangle: Rounded Corners 7">
          <a:extLst>
            <a:ext uri="{FF2B5EF4-FFF2-40B4-BE49-F238E27FC236}">
              <a16:creationId xmlns:a16="http://schemas.microsoft.com/office/drawing/2014/main" id="{F8C4008C-21D4-4BCE-A2CA-17B8CDEA3C5F}"/>
            </a:ext>
          </a:extLst>
        </xdr:cNvPr>
        <xdr:cNvSpPr/>
      </xdr:nvSpPr>
      <xdr:spPr>
        <a:xfrm>
          <a:off x="7569736" y="520297"/>
          <a:ext cx="1450932" cy="1033511"/>
        </a:xfrm>
        <a:prstGeom prst="roundRect">
          <a:avLst>
            <a:gd name="adj" fmla="val 11310"/>
          </a:avLst>
        </a:prstGeom>
        <a:gradFill>
          <a:gsLst>
            <a:gs pos="41000">
              <a:schemeClr val="accent1">
                <a:lumMod val="40000"/>
                <a:lumOff val="60000"/>
              </a:schemeClr>
            </a:gs>
            <a:gs pos="41000">
              <a:schemeClr val="bg1"/>
            </a:gs>
            <a:gs pos="100000">
              <a:schemeClr val="bg1">
                <a:lumMod val="95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0"/>
        <a:lstStyle/>
        <a:p>
          <a:pPr algn="ctr"/>
          <a:endParaRPr lang="en-IN" sz="200">
            <a:solidFill>
              <a:sysClr val="windowText" lastClr="000000"/>
            </a:solidFill>
          </a:endParaRPr>
        </a:p>
        <a:p>
          <a:pPr algn="ctr"/>
          <a:r>
            <a:rPr lang="en-IN" sz="1400" b="1">
              <a:solidFill>
                <a:sysClr val="windowText" lastClr="000000"/>
              </a:solidFill>
            </a:rPr>
            <a:t>Interest Coverage</a:t>
          </a:r>
        </a:p>
        <a:p>
          <a:pPr algn="l"/>
          <a:endParaRPr lang="en-IN" sz="1100"/>
        </a:p>
        <a:p>
          <a:pPr algn="l"/>
          <a:endParaRPr lang="en-IN" sz="500"/>
        </a:p>
        <a:p>
          <a:pPr algn="ctr"/>
          <a:r>
            <a:rPr lang="en-IN" sz="1600" b="1">
              <a:solidFill>
                <a:sysClr val="windowText" lastClr="000000"/>
              </a:solidFill>
            </a:rPr>
            <a:t>24.58x</a:t>
          </a:r>
        </a:p>
      </xdr:txBody>
    </xdr:sp>
    <xdr:clientData/>
  </xdr:twoCellAnchor>
  <xdr:twoCellAnchor>
    <xdr:from>
      <xdr:col>0</xdr:col>
      <xdr:colOff>405935</xdr:colOff>
      <xdr:row>10</xdr:row>
      <xdr:rowOff>131609</xdr:rowOff>
    </xdr:from>
    <xdr:to>
      <xdr:col>6</xdr:col>
      <xdr:colOff>452755</xdr:colOff>
      <xdr:row>25</xdr:row>
      <xdr:rowOff>142493</xdr:rowOff>
    </xdr:to>
    <xdr:graphicFrame macro="">
      <xdr:nvGraphicFramePr>
        <xdr:cNvPr id="9" name="Chart 3">
          <a:extLst>
            <a:ext uri="{FF2B5EF4-FFF2-40B4-BE49-F238E27FC236}">
              <a16:creationId xmlns:a16="http://schemas.microsoft.com/office/drawing/2014/main" id="{3FD72568-A63C-4389-99F6-C57B1EDA3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217744</xdr:colOff>
      <xdr:row>10</xdr:row>
      <xdr:rowOff>79559</xdr:rowOff>
    </xdr:from>
    <xdr:to>
      <xdr:col>13</xdr:col>
      <xdr:colOff>548252</xdr:colOff>
      <xdr:row>25</xdr:row>
      <xdr:rowOff>133376</xdr:rowOff>
    </xdr:to>
    <xdr:graphicFrame macro="">
      <xdr:nvGraphicFramePr>
        <xdr:cNvPr id="10" name="Chart 4">
          <a:extLst>
            <a:ext uri="{FF2B5EF4-FFF2-40B4-BE49-F238E27FC236}">
              <a16:creationId xmlns:a16="http://schemas.microsoft.com/office/drawing/2014/main" id="{D620C94E-9363-46F1-A38A-0608E3466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256048</xdr:colOff>
      <xdr:row>31</xdr:row>
      <xdr:rowOff>81935</xdr:rowOff>
    </xdr:from>
    <xdr:to>
      <xdr:col>13</xdr:col>
      <xdr:colOff>488460</xdr:colOff>
      <xdr:row>51</xdr:row>
      <xdr:rowOff>122115</xdr:rowOff>
    </xdr:to>
    <xdr:sp macro="" textlink="">
      <xdr:nvSpPr>
        <xdr:cNvPr id="11" name="Rectangle: Rounded Corners 10">
          <a:extLst>
            <a:ext uri="{FF2B5EF4-FFF2-40B4-BE49-F238E27FC236}">
              <a16:creationId xmlns:a16="http://schemas.microsoft.com/office/drawing/2014/main" id="{EEF57E15-9AC6-4754-B880-DAB2D52B01F6}"/>
            </a:ext>
          </a:extLst>
        </xdr:cNvPr>
        <xdr:cNvSpPr/>
      </xdr:nvSpPr>
      <xdr:spPr>
        <a:xfrm>
          <a:off x="256048" y="6381135"/>
          <a:ext cx="8817612" cy="3977180"/>
        </a:xfrm>
        <a:prstGeom prst="roundRect">
          <a:avLst>
            <a:gd name="adj" fmla="val 4554"/>
          </a:avLst>
        </a:prstGeom>
        <a:solidFill>
          <a:srgbClr val="EEEEE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366346</xdr:colOff>
      <xdr:row>32</xdr:row>
      <xdr:rowOff>24424</xdr:rowOff>
    </xdr:from>
    <xdr:to>
      <xdr:col>6</xdr:col>
      <xdr:colOff>670184</xdr:colOff>
      <xdr:row>50</xdr:row>
      <xdr:rowOff>146539</xdr:rowOff>
    </xdr:to>
    <xdr:sp macro="" textlink="">
      <xdr:nvSpPr>
        <xdr:cNvPr id="12" name="Rectangle: Rounded Corners 11">
          <a:extLst>
            <a:ext uri="{FF2B5EF4-FFF2-40B4-BE49-F238E27FC236}">
              <a16:creationId xmlns:a16="http://schemas.microsoft.com/office/drawing/2014/main" id="{72990E79-1A2B-44B0-885C-F640A12633D8}"/>
            </a:ext>
          </a:extLst>
        </xdr:cNvPr>
        <xdr:cNvSpPr/>
      </xdr:nvSpPr>
      <xdr:spPr>
        <a:xfrm>
          <a:off x="366346" y="6520474"/>
          <a:ext cx="4253538" cy="3665415"/>
        </a:xfrm>
        <a:prstGeom prst="roundRect">
          <a:avLst>
            <a:gd name="adj" fmla="val 4554"/>
          </a:avLst>
        </a:prstGeom>
        <a:solidFill>
          <a:srgbClr val="F9F9F9"/>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accent1">
                  <a:lumMod val="50000"/>
                </a:schemeClr>
              </a:solidFill>
              <a:sym typeface="Symbol" panose="05050102010706020507" pitchFamily="18" charset="2"/>
            </a:rPr>
            <a:t></a:t>
          </a:r>
          <a:r>
            <a:rPr lang="en-IN" sz="1800" b="1">
              <a:solidFill>
                <a:schemeClr val="accent1">
                  <a:lumMod val="50000"/>
                </a:schemeClr>
              </a:solidFill>
            </a:rPr>
            <a:t>Executive Summary</a:t>
          </a:r>
        </a:p>
        <a:p>
          <a:pPr algn="ctr"/>
          <a:r>
            <a:rPr lang="en-IN" sz="2400" b="1">
              <a:solidFill>
                <a:schemeClr val="accent1">
                  <a:lumMod val="50000"/>
                </a:schemeClr>
              </a:solidFill>
            </a:rPr>
            <a:t>________________________________________</a:t>
          </a:r>
        </a:p>
        <a:p>
          <a:pPr algn="ctr"/>
          <a:endParaRPr lang="en-IN" sz="1800" b="1">
            <a:solidFill>
              <a:schemeClr val="accent1">
                <a:lumMod val="50000"/>
              </a:schemeClr>
            </a:solidFill>
          </a:endParaRPr>
        </a:p>
        <a:p>
          <a:r>
            <a:rPr lang="en-IN" sz="1800">
              <a:solidFill>
                <a:schemeClr val="bg2">
                  <a:lumMod val="25000"/>
                </a:schemeClr>
              </a:solidFill>
            </a:rPr>
            <a:t>• Profitability remained stable, with margins showing resilience amid mild cost pressures.</a:t>
          </a:r>
        </a:p>
        <a:p>
          <a:endParaRPr lang="en-IN" sz="1800">
            <a:solidFill>
              <a:schemeClr val="bg2">
                <a:lumMod val="25000"/>
              </a:schemeClr>
            </a:solidFill>
          </a:endParaRPr>
        </a:p>
        <a:p>
          <a:r>
            <a:rPr lang="en-IN" sz="1800">
              <a:solidFill>
                <a:schemeClr val="bg2">
                  <a:lumMod val="25000"/>
                </a:schemeClr>
              </a:solidFill>
            </a:rPr>
            <a:t>• Working capital discipline strengthened through faster receivable collections and controlled payables.</a:t>
          </a:r>
        </a:p>
        <a:p>
          <a:endParaRPr lang="en-IN" sz="1800">
            <a:solidFill>
              <a:schemeClr val="bg2">
                <a:lumMod val="25000"/>
              </a:schemeClr>
            </a:solidFill>
          </a:endParaRPr>
        </a:p>
        <a:p>
          <a:r>
            <a:rPr lang="en-IN" sz="1800">
              <a:solidFill>
                <a:schemeClr val="bg2">
                  <a:lumMod val="25000"/>
                </a:schemeClr>
              </a:solidFill>
            </a:rPr>
            <a:t>• Capital efficiency maintained, with leverage reducing and interest coverage remaining robust.</a:t>
          </a:r>
        </a:p>
        <a:p>
          <a:pPr algn="ctr"/>
          <a:endParaRPr lang="en-IN" sz="1800" b="1">
            <a:solidFill>
              <a:schemeClr val="accent1">
                <a:lumMod val="50000"/>
              </a:schemeClr>
            </a:solidFill>
          </a:endParaRPr>
        </a:p>
      </xdr:txBody>
    </xdr:sp>
    <xdr:clientData/>
  </xdr:twoCellAnchor>
  <xdr:twoCellAnchor>
    <xdr:from>
      <xdr:col>7</xdr:col>
      <xdr:colOff>9922</xdr:colOff>
      <xdr:row>32</xdr:row>
      <xdr:rowOff>59531</xdr:rowOff>
    </xdr:from>
    <xdr:to>
      <xdr:col>13</xdr:col>
      <xdr:colOff>313760</xdr:colOff>
      <xdr:row>50</xdr:row>
      <xdr:rowOff>181646</xdr:rowOff>
    </xdr:to>
    <xdr:sp macro="" textlink="">
      <xdr:nvSpPr>
        <xdr:cNvPr id="13" name="Rectangle: Rounded Corners 12">
          <a:extLst>
            <a:ext uri="{FF2B5EF4-FFF2-40B4-BE49-F238E27FC236}">
              <a16:creationId xmlns:a16="http://schemas.microsoft.com/office/drawing/2014/main" id="{DFECDE2E-637F-4F8B-A62C-93456C9C8DCE}"/>
            </a:ext>
          </a:extLst>
        </xdr:cNvPr>
        <xdr:cNvSpPr/>
      </xdr:nvSpPr>
      <xdr:spPr>
        <a:xfrm>
          <a:off x="4632722" y="6555581"/>
          <a:ext cx="4266238" cy="3665415"/>
        </a:xfrm>
        <a:prstGeom prst="roundRect">
          <a:avLst>
            <a:gd name="adj" fmla="val 4554"/>
          </a:avLst>
        </a:prstGeom>
        <a:solidFill>
          <a:srgbClr val="F9F9F9"/>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solidFill>
                <a:schemeClr val="accent1">
                  <a:lumMod val="50000"/>
                </a:schemeClr>
              </a:solidFill>
              <a:sym typeface="Symbol" panose="05050102010706020507" pitchFamily="18" charset="2"/>
            </a:rPr>
            <a:t> </a:t>
          </a:r>
          <a:r>
            <a:rPr lang="en-IN" sz="1800" b="1">
              <a:solidFill>
                <a:schemeClr val="accent1">
                  <a:lumMod val="50000"/>
                </a:schemeClr>
              </a:solidFill>
            </a:rPr>
            <a:t>Profitability Comparison</a:t>
          </a:r>
        </a:p>
        <a:p>
          <a:pPr algn="ctr"/>
          <a:r>
            <a:rPr lang="en-IN" sz="2400" b="1">
              <a:solidFill>
                <a:schemeClr val="accent1">
                  <a:lumMod val="50000"/>
                </a:schemeClr>
              </a:solidFill>
            </a:rPr>
            <a:t>________________________________________</a:t>
          </a:r>
        </a:p>
        <a:p>
          <a:pPr algn="ctr"/>
          <a:endParaRPr lang="en-IN" sz="1800" b="1">
            <a:solidFill>
              <a:schemeClr val="accent1">
                <a:lumMod val="50000"/>
              </a:schemeClr>
            </a:solidFill>
          </a:endParaRPr>
        </a:p>
        <a:p>
          <a:r>
            <a:rPr lang="en-IN" sz="1800">
              <a:solidFill>
                <a:schemeClr val="bg2">
                  <a:lumMod val="25000"/>
                </a:schemeClr>
              </a:solidFill>
            </a:rPr>
            <a:t>• Margins remained resilient despite slight cost pressures.</a:t>
          </a:r>
        </a:p>
        <a:p>
          <a:endParaRPr lang="en-IN" sz="1800">
            <a:solidFill>
              <a:schemeClr val="bg2">
                <a:lumMod val="25000"/>
              </a:schemeClr>
            </a:solidFill>
          </a:endParaRPr>
        </a:p>
        <a:p>
          <a:r>
            <a:rPr lang="en-IN" sz="1800">
              <a:solidFill>
                <a:schemeClr val="bg2">
                  <a:lumMod val="25000"/>
                </a:schemeClr>
              </a:solidFill>
            </a:rPr>
            <a:t>• Operating efficiency remained stable year-on-year.</a:t>
          </a:r>
        </a:p>
        <a:p>
          <a:endParaRPr lang="en-IN" sz="1800">
            <a:solidFill>
              <a:schemeClr val="bg2">
                <a:lumMod val="25000"/>
              </a:schemeClr>
            </a:solidFill>
          </a:endParaRPr>
        </a:p>
        <a:p>
          <a:pPr algn="l"/>
          <a:r>
            <a:rPr lang="en-IN" sz="1800">
              <a:solidFill>
                <a:schemeClr val="bg2">
                  <a:lumMod val="25000"/>
                </a:schemeClr>
              </a:solidFill>
            </a:rPr>
            <a:t>• Net profitability improved, indicating strong cost control and     operational discipline.</a:t>
          </a:r>
        </a:p>
        <a:p>
          <a:endParaRPr lang="en-IN" sz="1800">
            <a:solidFill>
              <a:schemeClr val="bg2">
                <a:lumMod val="25000"/>
              </a:schemeClr>
            </a:solidFill>
          </a:endParaRPr>
        </a:p>
        <a:p>
          <a:r>
            <a:rPr lang="en-IN" sz="1800">
              <a:solidFill>
                <a:schemeClr val="bg2">
                  <a:lumMod val="25000"/>
                </a:schemeClr>
              </a:solidFill>
            </a:rPr>
            <a:t>• Overall margin structure remains solid within the FMCG sector.</a:t>
          </a:r>
        </a:p>
        <a:p>
          <a:pPr algn="ctr"/>
          <a:endParaRPr lang="en-IN" sz="1800" b="1">
            <a:solidFill>
              <a:schemeClr val="accent1">
                <a:lumMod val="50000"/>
              </a:schemeClr>
            </a:solidFill>
          </a:endParaRPr>
        </a:p>
      </xdr:txBody>
    </xdr:sp>
    <xdr:clientData/>
  </xdr:twoCellAnchor>
  <xdr:oneCellAnchor>
    <xdr:from>
      <xdr:col>16</xdr:col>
      <xdr:colOff>287263</xdr:colOff>
      <xdr:row>35</xdr:row>
      <xdr:rowOff>117933</xdr:rowOff>
    </xdr:from>
    <xdr:ext cx="7772400" cy="233205"/>
    <xdr:sp macro="" textlink="">
      <xdr:nvSpPr>
        <xdr:cNvPr id="14" name="TextBox 13">
          <a:extLst>
            <a:ext uri="{FF2B5EF4-FFF2-40B4-BE49-F238E27FC236}">
              <a16:creationId xmlns:a16="http://schemas.microsoft.com/office/drawing/2014/main" id="{CFA80496-EB59-4009-989F-0EA026073822}"/>
            </a:ext>
          </a:extLst>
        </xdr:cNvPr>
        <xdr:cNvSpPr txBox="1"/>
      </xdr:nvSpPr>
      <xdr:spPr>
        <a:xfrm>
          <a:off x="10853663" y="7204533"/>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oneCellAnchor>
    <xdr:from>
      <xdr:col>12</xdr:col>
      <xdr:colOff>712315</xdr:colOff>
      <xdr:row>0</xdr:row>
      <xdr:rowOff>0</xdr:rowOff>
    </xdr:from>
    <xdr:ext cx="847298" cy="819203"/>
    <xdr:pic>
      <xdr:nvPicPr>
        <xdr:cNvPr id="15" name="Picture 14">
          <a:extLst>
            <a:ext uri="{FF2B5EF4-FFF2-40B4-BE49-F238E27FC236}">
              <a16:creationId xmlns:a16="http://schemas.microsoft.com/office/drawing/2014/main" id="{340E0BC6-F623-426D-ADD2-5C678E0FED4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586315" y="0"/>
          <a:ext cx="847298" cy="819203"/>
        </a:xfrm>
        <a:prstGeom prst="rect">
          <a:avLst/>
        </a:prstGeom>
      </xdr:spPr>
    </xdr:pic>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yushjagtap1657@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H36"/>
  <sheetViews>
    <sheetView showGridLines="0" tabSelected="1" zoomScale="69" zoomScaleNormal="69" workbookViewId="0">
      <selection sqref="A1:I45"/>
    </sheetView>
  </sheetViews>
  <sheetFormatPr defaultColWidth="8.58203125" defaultRowHeight="15" customHeight="1"/>
  <cols>
    <col min="1" max="1" width="3" customWidth="1"/>
    <col min="2" max="2" width="24" customWidth="1"/>
    <col min="3" max="8" width="22" customWidth="1"/>
    <col min="9" max="9" width="3" customWidth="1"/>
  </cols>
  <sheetData>
    <row r="1" spans="2:8" ht="21.75" customHeight="1">
      <c r="B1" s="326" t="s">
        <v>275</v>
      </c>
      <c r="C1" s="326"/>
      <c r="D1" s="326"/>
      <c r="E1" s="326"/>
      <c r="F1" s="326"/>
      <c r="G1" s="326"/>
      <c r="H1" s="326"/>
    </row>
    <row r="2" spans="2:8" ht="21.75" customHeight="1">
      <c r="B2" s="326"/>
      <c r="C2" s="326"/>
      <c r="D2" s="326"/>
      <c r="E2" s="326"/>
      <c r="F2" s="326"/>
      <c r="G2" s="326"/>
      <c r="H2" s="326"/>
    </row>
    <row r="3" spans="2:8" ht="21.75" customHeight="1">
      <c r="B3" s="295" t="s">
        <v>0</v>
      </c>
      <c r="C3" s="295"/>
      <c r="D3" s="295"/>
      <c r="E3" s="295"/>
      <c r="F3" s="295"/>
      <c r="G3" s="295"/>
      <c r="H3" s="295"/>
    </row>
    <row r="4" spans="2:8" ht="21.75" customHeight="1">
      <c r="B4" s="303" t="s">
        <v>1</v>
      </c>
      <c r="C4" s="303"/>
      <c r="D4" s="303"/>
      <c r="E4" s="303"/>
      <c r="F4" s="303"/>
      <c r="G4" s="303"/>
      <c r="H4" s="303"/>
    </row>
    <row r="5" spans="2:8" ht="21.75" customHeight="1">
      <c r="B5" s="303"/>
      <c r="C5" s="303"/>
      <c r="D5" s="303"/>
      <c r="E5" s="303"/>
      <c r="F5" s="303"/>
      <c r="G5" s="303"/>
      <c r="H5" s="303"/>
    </row>
    <row r="6" spans="2:8" ht="21.75" customHeight="1">
      <c r="B6" s="225" t="s">
        <v>2</v>
      </c>
      <c r="C6" s="199"/>
      <c r="D6" s="199"/>
      <c r="E6" s="225" t="s">
        <v>3</v>
      </c>
      <c r="F6" s="199"/>
      <c r="G6" s="199"/>
      <c r="H6" s="199"/>
    </row>
    <row r="7" spans="2:8" ht="28" customHeight="1">
      <c r="B7" s="200" t="s">
        <v>4</v>
      </c>
      <c r="C7" s="201" t="s">
        <v>5</v>
      </c>
      <c r="D7" s="201"/>
      <c r="E7" s="200" t="s">
        <v>6</v>
      </c>
      <c r="F7" s="201" t="s">
        <v>7</v>
      </c>
      <c r="G7" s="201"/>
      <c r="H7" s="201"/>
    </row>
    <row r="8" spans="2:8" ht="21.75" customHeight="1">
      <c r="B8" s="200" t="s">
        <v>8</v>
      </c>
      <c r="C8" s="294" t="s">
        <v>9</v>
      </c>
      <c r="D8" s="294"/>
      <c r="E8" s="200" t="s">
        <v>10</v>
      </c>
      <c r="F8" s="294" t="s">
        <v>11</v>
      </c>
      <c r="G8" s="294"/>
      <c r="H8" s="294"/>
    </row>
    <row r="9" spans="2:8" ht="21.75" customHeight="1">
      <c r="B9" s="200" t="s">
        <v>12</v>
      </c>
      <c r="C9" s="294" t="s">
        <v>13</v>
      </c>
      <c r="D9" s="294"/>
      <c r="E9" s="200" t="s">
        <v>14</v>
      </c>
      <c r="F9" s="294" t="s">
        <v>15</v>
      </c>
      <c r="G9" s="294"/>
      <c r="H9" s="294"/>
    </row>
    <row r="10" spans="2:8" ht="21.75" customHeight="1">
      <c r="B10" s="200" t="s">
        <v>16</v>
      </c>
      <c r="C10" s="294" t="s">
        <v>17</v>
      </c>
      <c r="D10" s="294"/>
      <c r="E10" s="200" t="s">
        <v>18</v>
      </c>
      <c r="F10" s="294" t="s">
        <v>19</v>
      </c>
      <c r="G10" s="294"/>
      <c r="H10" s="294"/>
    </row>
    <row r="11" spans="2:8" ht="21.75" customHeight="1">
      <c r="B11" s="224" t="s">
        <v>248</v>
      </c>
      <c r="C11" s="304" t="s">
        <v>249</v>
      </c>
      <c r="D11" s="304"/>
      <c r="E11" s="304"/>
      <c r="F11" s="304"/>
      <c r="G11" s="304"/>
      <c r="H11" s="304"/>
    </row>
    <row r="12" spans="2:8" ht="21.75" customHeight="1">
      <c r="B12" s="224" t="s">
        <v>250</v>
      </c>
      <c r="C12" s="304" t="s">
        <v>251</v>
      </c>
      <c r="D12" s="304"/>
      <c r="E12" s="304"/>
      <c r="F12" s="304"/>
      <c r="G12" s="304"/>
      <c r="H12" s="304"/>
    </row>
    <row r="13" spans="2:8" ht="21.75" customHeight="1">
      <c r="B13" s="224" t="s">
        <v>252</v>
      </c>
      <c r="C13" s="304" t="s">
        <v>274</v>
      </c>
      <c r="D13" s="304"/>
      <c r="E13" s="304"/>
      <c r="F13" s="304"/>
      <c r="G13" s="304"/>
      <c r="H13" s="304"/>
    </row>
    <row r="14" spans="2:8" ht="21.75" customHeight="1">
      <c r="B14" s="222" t="s">
        <v>253</v>
      </c>
      <c r="C14" s="305" t="s">
        <v>254</v>
      </c>
      <c r="D14" s="305"/>
      <c r="E14" s="305"/>
      <c r="F14" s="305"/>
      <c r="G14" s="305"/>
      <c r="H14" s="305"/>
    </row>
    <row r="15" spans="2:8" ht="21.75" customHeight="1">
      <c r="B15" s="223" t="s">
        <v>255</v>
      </c>
      <c r="C15" s="304" t="s">
        <v>256</v>
      </c>
      <c r="D15" s="304"/>
      <c r="E15" s="304"/>
      <c r="F15" s="304"/>
      <c r="G15" s="304"/>
      <c r="H15" s="304"/>
    </row>
    <row r="16" spans="2:8" ht="21.75" customHeight="1">
      <c r="B16" s="299" t="s">
        <v>20</v>
      </c>
      <c r="C16" s="299"/>
      <c r="D16" s="299"/>
      <c r="E16" s="299"/>
      <c r="F16" s="299"/>
      <c r="G16" s="299"/>
      <c r="H16" s="299"/>
    </row>
    <row r="17" spans="2:8" ht="21.5" customHeight="1">
      <c r="B17" s="202" t="s">
        <v>21</v>
      </c>
      <c r="C17" s="300" t="s">
        <v>22</v>
      </c>
      <c r="D17" s="300"/>
      <c r="E17" s="301" t="s">
        <v>23</v>
      </c>
      <c r="F17" s="301"/>
      <c r="G17" s="301"/>
      <c r="H17" s="301"/>
    </row>
    <row r="18" spans="2:8" ht="21.5" customHeight="1">
      <c r="B18" s="202" t="s">
        <v>24</v>
      </c>
      <c r="C18" s="203" t="s">
        <v>25</v>
      </c>
      <c r="D18" s="203"/>
      <c r="E18" s="301" t="s">
        <v>26</v>
      </c>
      <c r="F18" s="301"/>
      <c r="G18" s="301"/>
      <c r="H18" s="301"/>
    </row>
    <row r="19" spans="2:8" ht="21.75" customHeight="1">
      <c r="B19" s="202" t="s">
        <v>27</v>
      </c>
      <c r="C19" s="203" t="s">
        <v>28</v>
      </c>
      <c r="D19" s="203"/>
      <c r="E19" s="306" t="s">
        <v>29</v>
      </c>
      <c r="F19" s="306"/>
      <c r="G19" s="306"/>
      <c r="H19" s="306"/>
    </row>
    <row r="20" spans="2:8" ht="21.75" customHeight="1">
      <c r="B20" s="202" t="s">
        <v>30</v>
      </c>
      <c r="C20" s="203" t="s">
        <v>31</v>
      </c>
      <c r="D20" s="203"/>
      <c r="E20" s="306" t="s">
        <v>32</v>
      </c>
      <c r="F20" s="306"/>
      <c r="G20" s="306"/>
      <c r="H20" s="306"/>
    </row>
    <row r="21" spans="2:8" ht="21.75" customHeight="1">
      <c r="B21" s="202" t="s">
        <v>33</v>
      </c>
      <c r="C21" s="203" t="s">
        <v>34</v>
      </c>
      <c r="D21" s="203"/>
      <c r="E21" s="306" t="s">
        <v>35</v>
      </c>
      <c r="F21" s="306"/>
      <c r="G21" s="306"/>
      <c r="H21" s="306"/>
    </row>
    <row r="22" spans="2:8" ht="21.75" customHeight="1">
      <c r="B22" s="296" t="s">
        <v>36</v>
      </c>
      <c r="C22" s="296"/>
      <c r="D22" s="296"/>
      <c r="E22" s="296"/>
      <c r="F22" s="296"/>
      <c r="G22" s="296"/>
      <c r="H22" s="296"/>
    </row>
    <row r="23" spans="2:8" ht="21.75" customHeight="1">
      <c r="B23" s="297" t="s">
        <v>37</v>
      </c>
      <c r="C23" s="297"/>
      <c r="D23" s="297"/>
      <c r="E23" s="297"/>
      <c r="F23" s="297"/>
      <c r="G23" s="297"/>
      <c r="H23" s="297"/>
    </row>
    <row r="24" spans="2:8" ht="21.75" customHeight="1">
      <c r="B24" s="297"/>
      <c r="C24" s="297"/>
      <c r="D24" s="297"/>
      <c r="E24" s="297"/>
      <c r="F24" s="297"/>
      <c r="G24" s="297"/>
      <c r="H24" s="297"/>
    </row>
    <row r="25" spans="2:8" ht="21.75" customHeight="1">
      <c r="B25" s="297"/>
      <c r="C25" s="297"/>
      <c r="D25" s="297"/>
      <c r="E25" s="297"/>
      <c r="F25" s="297"/>
      <c r="G25" s="297"/>
      <c r="H25" s="297"/>
    </row>
    <row r="26" spans="2:8" ht="21.75" customHeight="1">
      <c r="B26" s="298" t="s">
        <v>38</v>
      </c>
      <c r="C26" s="298"/>
      <c r="D26" s="298"/>
      <c r="E26" s="298"/>
      <c r="F26" s="298"/>
      <c r="G26" s="298"/>
      <c r="H26" s="298"/>
    </row>
    <row r="27" spans="2:8" ht="21.75" customHeight="1">
      <c r="B27" s="307" t="s">
        <v>39</v>
      </c>
      <c r="C27" s="307"/>
      <c r="D27" s="307"/>
      <c r="E27" s="307"/>
      <c r="F27" s="307"/>
      <c r="G27" s="307"/>
      <c r="H27" s="307"/>
    </row>
    <row r="28" spans="2:8" ht="21.75" customHeight="1">
      <c r="B28" s="307" t="s">
        <v>40</v>
      </c>
      <c r="C28" s="307"/>
      <c r="D28" s="307"/>
      <c r="E28" s="307"/>
      <c r="F28" s="307"/>
      <c r="G28" s="307"/>
      <c r="H28" s="307"/>
    </row>
    <row r="29" spans="2:8" ht="21.75" customHeight="1">
      <c r="B29" s="307" t="s">
        <v>41</v>
      </c>
      <c r="C29" s="307"/>
      <c r="D29" s="307"/>
      <c r="E29" s="307"/>
      <c r="F29" s="307"/>
      <c r="G29" s="307"/>
      <c r="H29" s="307"/>
    </row>
    <row r="30" spans="2:8" ht="21.75" customHeight="1">
      <c r="B30" s="307" t="s">
        <v>42</v>
      </c>
      <c r="C30" s="307"/>
      <c r="D30" s="307"/>
      <c r="E30" s="307"/>
      <c r="F30" s="307"/>
      <c r="G30" s="307"/>
      <c r="H30" s="307"/>
    </row>
    <row r="31" spans="2:8" ht="21.75" customHeight="1">
      <c r="B31" s="307" t="s">
        <v>43</v>
      </c>
      <c r="C31" s="307"/>
      <c r="D31" s="307"/>
      <c r="E31" s="307"/>
      <c r="F31" s="307"/>
      <c r="G31" s="307"/>
      <c r="H31" s="307"/>
    </row>
    <row r="32" spans="2:8" ht="21.75" customHeight="1">
      <c r="B32" s="302" t="s">
        <v>44</v>
      </c>
      <c r="C32" s="302"/>
      <c r="D32" s="302"/>
      <c r="E32" s="302"/>
      <c r="F32" s="302"/>
      <c r="G32" s="302"/>
      <c r="H32" s="302"/>
    </row>
    <row r="33" spans="2:8" ht="21.75" customHeight="1">
      <c r="B33" s="302"/>
      <c r="C33" s="302"/>
      <c r="D33" s="302"/>
      <c r="E33" s="302"/>
      <c r="F33" s="302"/>
      <c r="G33" s="302"/>
      <c r="H33" s="302"/>
    </row>
    <row r="34" spans="2:8" ht="21.75" customHeight="1"/>
    <row r="35" spans="2:8" ht="21.75" customHeight="1"/>
    <row r="36" spans="2:8" ht="21.75" customHeight="1"/>
  </sheetData>
  <mergeCells count="30">
    <mergeCell ref="B1:H2"/>
    <mergeCell ref="B32:H33"/>
    <mergeCell ref="B4:H5"/>
    <mergeCell ref="C11:H11"/>
    <mergeCell ref="C14:H14"/>
    <mergeCell ref="C12:H12"/>
    <mergeCell ref="C13:H13"/>
    <mergeCell ref="C15:H15"/>
    <mergeCell ref="E18:H18"/>
    <mergeCell ref="E19:H19"/>
    <mergeCell ref="E20:H20"/>
    <mergeCell ref="E21:H21"/>
    <mergeCell ref="B27:H27"/>
    <mergeCell ref="B28:H28"/>
    <mergeCell ref="B29:H29"/>
    <mergeCell ref="B30:H30"/>
    <mergeCell ref="B31:H31"/>
    <mergeCell ref="B22:H22"/>
    <mergeCell ref="B23:H25"/>
    <mergeCell ref="B26:H26"/>
    <mergeCell ref="C10:D10"/>
    <mergeCell ref="F10:H10"/>
    <mergeCell ref="B16:H16"/>
    <mergeCell ref="C17:D17"/>
    <mergeCell ref="E17:H17"/>
    <mergeCell ref="C8:D8"/>
    <mergeCell ref="F8:H8"/>
    <mergeCell ref="C9:D9"/>
    <mergeCell ref="F9:H9"/>
    <mergeCell ref="B3:H3"/>
  </mergeCells>
  <hyperlinks>
    <hyperlink ref="C14" r:id="rId1" xr:uid="{2D6C71E7-6939-444B-92F4-5862D3348D68}"/>
  </hyperlinks>
  <pageMargins left="0.3" right="0.3" top="0.4" bottom="0.4" header="0.511811023622047" footer="0.2"/>
  <pageSetup paperSize="9" scale="55" orientation="portrait" horizontalDpi="300" verticalDpi="300" r:id="rId2"/>
  <headerFooter>
    <oddFooter>&amp;CUnilever Group Financial Analysis | Portfolio Project&amp;RPage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34"/>
  <sheetViews>
    <sheetView showGridLines="0" tabSelected="1" zoomScale="86" zoomScaleNormal="86" workbookViewId="0">
      <selection sqref="A1:I45"/>
    </sheetView>
  </sheetViews>
  <sheetFormatPr defaultColWidth="8.58203125" defaultRowHeight="15" customHeight="1"/>
  <cols>
    <col min="1" max="1" width="3" customWidth="1"/>
    <col min="2" max="2" width="25" customWidth="1"/>
    <col min="3" max="5" width="28" customWidth="1"/>
    <col min="6" max="6" width="3" customWidth="1"/>
  </cols>
  <sheetData>
    <row r="1" spans="2:8" ht="21" customHeight="1"/>
    <row r="2" spans="2:8" ht="21" customHeight="1">
      <c r="B2" s="327" t="s">
        <v>5</v>
      </c>
      <c r="C2" s="327"/>
      <c r="D2" s="327"/>
      <c r="E2" s="327"/>
    </row>
    <row r="3" spans="2:8" ht="21" customHeight="1">
      <c r="B3" s="225" t="s">
        <v>45</v>
      </c>
      <c r="C3" s="226"/>
      <c r="D3" s="226"/>
      <c r="E3" s="226"/>
      <c r="F3" s="227"/>
      <c r="G3" s="227"/>
      <c r="H3" s="227"/>
    </row>
    <row r="4" spans="2:8" ht="21" customHeight="1"/>
    <row r="5" spans="2:8" ht="21" customHeight="1">
      <c r="B5" s="308" t="s">
        <v>46</v>
      </c>
      <c r="C5" s="308"/>
      <c r="D5" s="308"/>
      <c r="E5" s="308"/>
    </row>
    <row r="6" spans="2:8" ht="21" customHeight="1">
      <c r="B6" s="309" t="s">
        <v>47</v>
      </c>
      <c r="C6" s="309"/>
      <c r="D6" s="309"/>
      <c r="E6" s="309"/>
    </row>
    <row r="7" spans="2:8" ht="21" customHeight="1">
      <c r="B7" s="309" t="s">
        <v>48</v>
      </c>
      <c r="C7" s="309"/>
      <c r="D7" s="309"/>
      <c r="E7" s="309"/>
    </row>
    <row r="8" spans="2:8" ht="21" customHeight="1">
      <c r="B8" s="309" t="s">
        <v>49</v>
      </c>
      <c r="C8" s="309"/>
      <c r="D8" s="309"/>
      <c r="E8" s="309"/>
    </row>
    <row r="9" spans="2:8" ht="21" customHeight="1">
      <c r="B9" s="309" t="s">
        <v>50</v>
      </c>
      <c r="C9" s="309"/>
      <c r="D9" s="309"/>
      <c r="E9" s="309"/>
    </row>
    <row r="10" spans="2:8" ht="21" customHeight="1">
      <c r="B10" s="309" t="s">
        <v>51</v>
      </c>
      <c r="C10" s="309"/>
      <c r="D10" s="309"/>
      <c r="E10" s="309"/>
    </row>
    <row r="11" spans="2:8" ht="21" customHeight="1">
      <c r="B11" s="309" t="s">
        <v>52</v>
      </c>
      <c r="C11" s="309"/>
      <c r="D11" s="309"/>
      <c r="E11" s="309"/>
    </row>
    <row r="12" spans="2:8" ht="21" customHeight="1"/>
    <row r="13" spans="2:8" ht="21" customHeight="1">
      <c r="B13" s="308" t="s">
        <v>53</v>
      </c>
      <c r="C13" s="308"/>
      <c r="D13" s="308"/>
      <c r="E13" s="308"/>
    </row>
    <row r="14" spans="2:8" ht="21" customHeight="1">
      <c r="B14" s="309" t="s">
        <v>54</v>
      </c>
      <c r="C14" s="309"/>
      <c r="D14" s="309"/>
      <c r="E14" s="309"/>
    </row>
    <row r="15" spans="2:8" ht="21" customHeight="1">
      <c r="B15" s="309" t="s">
        <v>55</v>
      </c>
      <c r="C15" s="309"/>
      <c r="D15" s="309"/>
      <c r="E15" s="309"/>
    </row>
    <row r="16" spans="2:8" ht="21" customHeight="1">
      <c r="B16" s="309" t="s">
        <v>56</v>
      </c>
      <c r="C16" s="309"/>
      <c r="D16" s="309"/>
      <c r="E16" s="309"/>
    </row>
    <row r="17" spans="2:5" ht="21" customHeight="1">
      <c r="B17" s="309" t="s">
        <v>57</v>
      </c>
      <c r="C17" s="309"/>
      <c r="D17" s="309"/>
      <c r="E17" s="309"/>
    </row>
    <row r="18" spans="2:5" ht="21" customHeight="1">
      <c r="B18" s="309" t="s">
        <v>58</v>
      </c>
      <c r="C18" s="309"/>
      <c r="D18" s="309"/>
      <c r="E18" s="309"/>
    </row>
    <row r="19" spans="2:5" ht="21" customHeight="1">
      <c r="B19" s="309" t="s">
        <v>59</v>
      </c>
      <c r="C19" s="309"/>
      <c r="D19" s="309"/>
      <c r="E19" s="309"/>
    </row>
    <row r="20" spans="2:5" ht="21" customHeight="1">
      <c r="B20" s="309" t="s">
        <v>60</v>
      </c>
      <c r="C20" s="309"/>
      <c r="D20" s="309"/>
      <c r="E20" s="309"/>
    </row>
    <row r="21" spans="2:5" ht="21" customHeight="1"/>
    <row r="22" spans="2:5" ht="21" customHeight="1">
      <c r="B22" s="310" t="s">
        <v>61</v>
      </c>
      <c r="C22" s="310"/>
      <c r="D22" s="310"/>
      <c r="E22" s="310"/>
    </row>
    <row r="23" spans="2:5" ht="21" customHeight="1">
      <c r="B23" s="221" t="s">
        <v>62</v>
      </c>
      <c r="C23" s="309" t="s">
        <v>63</v>
      </c>
      <c r="D23" s="309"/>
      <c r="E23" s="309"/>
    </row>
    <row r="24" spans="2:5" ht="21" customHeight="1">
      <c r="B24" s="221" t="s">
        <v>64</v>
      </c>
      <c r="C24" s="309" t="s">
        <v>65</v>
      </c>
      <c r="D24" s="309"/>
      <c r="E24" s="309"/>
    </row>
    <row r="25" spans="2:5" ht="21" customHeight="1">
      <c r="B25" s="221" t="s">
        <v>66</v>
      </c>
      <c r="C25" s="309" t="s">
        <v>67</v>
      </c>
      <c r="D25" s="309"/>
      <c r="E25" s="309"/>
    </row>
    <row r="26" spans="2:5" ht="22.5" customHeight="1">
      <c r="B26" s="221" t="s">
        <v>68</v>
      </c>
      <c r="C26" s="309" t="s">
        <v>69</v>
      </c>
      <c r="D26" s="309"/>
      <c r="E26" s="309"/>
    </row>
    <row r="27" spans="2:5" ht="31.5" customHeight="1">
      <c r="B27" s="228" t="s">
        <v>70</v>
      </c>
      <c r="C27" s="309" t="s">
        <v>71</v>
      </c>
      <c r="D27" s="309"/>
      <c r="E27" s="309"/>
    </row>
    <row r="28" spans="2:5" ht="21" customHeight="1"/>
    <row r="29" spans="2:5" ht="21" customHeight="1">
      <c r="B29" s="312" t="s">
        <v>72</v>
      </c>
      <c r="C29" s="312"/>
      <c r="D29" s="312"/>
      <c r="E29" s="312"/>
    </row>
    <row r="30" spans="2:5" ht="21" customHeight="1">
      <c r="B30" s="311" t="s">
        <v>73</v>
      </c>
      <c r="C30" s="311"/>
      <c r="D30" s="311"/>
      <c r="E30" s="311"/>
    </row>
    <row r="31" spans="2:5" ht="32.5" customHeight="1">
      <c r="B31" s="311"/>
      <c r="C31" s="311"/>
      <c r="D31" s="311"/>
      <c r="E31" s="311"/>
    </row>
    <row r="32" spans="2:5" ht="21" customHeight="1"/>
    <row r="33" ht="21" customHeight="1"/>
    <row r="34" ht="21" customHeight="1"/>
  </sheetData>
  <mergeCells count="24">
    <mergeCell ref="B20:E20"/>
    <mergeCell ref="B22:E22"/>
    <mergeCell ref="C23:E23"/>
    <mergeCell ref="B30:E31"/>
    <mergeCell ref="C24:E24"/>
    <mergeCell ref="C25:E25"/>
    <mergeCell ref="C26:E26"/>
    <mergeCell ref="C27:E27"/>
    <mergeCell ref="B29:E29"/>
    <mergeCell ref="B15:E15"/>
    <mergeCell ref="B16:E16"/>
    <mergeCell ref="B17:E17"/>
    <mergeCell ref="B18:E18"/>
    <mergeCell ref="B19:E19"/>
    <mergeCell ref="B9:E9"/>
    <mergeCell ref="B10:E10"/>
    <mergeCell ref="B11:E11"/>
    <mergeCell ref="B13:E13"/>
    <mergeCell ref="B14:E14"/>
    <mergeCell ref="B2:E2"/>
    <mergeCell ref="B5:E5"/>
    <mergeCell ref="B6:E6"/>
    <mergeCell ref="B7:E7"/>
    <mergeCell ref="B8:E8"/>
  </mergeCells>
  <pageMargins left="0.3" right="0.3" top="0.4" bottom="0.4" header="0.511811023622047" footer="0.2"/>
  <pageSetup paperSize="9" scale="78" orientation="portrait" horizontalDpi="300" verticalDpi="300" r:id="rId1"/>
  <headerFooter>
    <oddFooter>&amp;CUnilever Group Financial Analysis | Portfolio Project&amp;RPage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49"/>
  <sheetViews>
    <sheetView showGridLines="0" tabSelected="1" zoomScale="36" zoomScaleNormal="47" workbookViewId="0">
      <selection sqref="A1:I45"/>
    </sheetView>
  </sheetViews>
  <sheetFormatPr defaultColWidth="8.58203125" defaultRowHeight="15" customHeight="1"/>
  <cols>
    <col min="2" max="2" width="73.6640625" customWidth="1"/>
    <col min="3" max="4" width="13.6640625" style="1" customWidth="1"/>
    <col min="7" max="7" width="43" customWidth="1"/>
    <col min="8" max="8" width="8.83203125" customWidth="1"/>
    <col min="9" max="9" width="13.83203125" customWidth="1"/>
    <col min="10" max="10" width="15" customWidth="1"/>
  </cols>
  <sheetData>
    <row r="1" spans="1:18" ht="31.5" customHeight="1">
      <c r="A1" s="313" t="s">
        <v>74</v>
      </c>
      <c r="B1" s="313"/>
      <c r="C1" s="313"/>
      <c r="D1" s="313"/>
      <c r="E1" s="313"/>
      <c r="F1" s="313"/>
      <c r="G1" s="313"/>
      <c r="H1" s="313"/>
      <c r="I1" s="313"/>
      <c r="J1" s="313"/>
      <c r="K1" s="229"/>
      <c r="L1" s="229"/>
      <c r="M1" s="229"/>
      <c r="N1" s="229"/>
      <c r="O1" s="229"/>
      <c r="P1" s="229"/>
      <c r="Q1" s="229"/>
      <c r="R1" s="229"/>
    </row>
    <row r="2" spans="1:18" ht="18" customHeight="1">
      <c r="B2" s="2" t="s">
        <v>77</v>
      </c>
      <c r="G2" s="2" t="s">
        <v>75</v>
      </c>
      <c r="H2" s="1"/>
      <c r="I2" s="1"/>
      <c r="J2" s="1"/>
    </row>
    <row r="3" spans="1:18" ht="18" customHeight="1">
      <c r="B3" s="3" t="s">
        <v>78</v>
      </c>
      <c r="D3" s="11" t="s">
        <v>79</v>
      </c>
      <c r="G3" s="3" t="s">
        <v>76</v>
      </c>
      <c r="H3" s="1"/>
      <c r="I3" s="1"/>
      <c r="J3" s="1"/>
    </row>
    <row r="4" spans="1:18" ht="25.5" customHeight="1">
      <c r="B4" s="15"/>
      <c r="C4" s="16">
        <v>2021</v>
      </c>
      <c r="D4" s="17">
        <v>2020</v>
      </c>
      <c r="G4" s="4"/>
      <c r="H4" s="5"/>
      <c r="I4" s="6" t="s">
        <v>17</v>
      </c>
      <c r="J4" s="7" t="s">
        <v>17</v>
      </c>
    </row>
    <row r="5" spans="1:18" ht="25.5" customHeight="1">
      <c r="B5" s="21" t="s">
        <v>82</v>
      </c>
      <c r="C5" s="22">
        <v>52444</v>
      </c>
      <c r="D5" s="23">
        <v>50724</v>
      </c>
      <c r="G5" s="8"/>
      <c r="H5" s="1"/>
      <c r="I5" s="9">
        <v>2021</v>
      </c>
      <c r="J5" s="10">
        <v>2020</v>
      </c>
    </row>
    <row r="6" spans="1:18" ht="18" customHeight="1">
      <c r="B6" s="21" t="s">
        <v>84</v>
      </c>
      <c r="C6" s="22">
        <v>30259</v>
      </c>
      <c r="D6" s="23">
        <v>28684</v>
      </c>
      <c r="G6" s="12" t="s">
        <v>80</v>
      </c>
      <c r="H6" s="5"/>
      <c r="I6" s="13"/>
      <c r="J6" s="14"/>
    </row>
    <row r="7" spans="1:18" ht="15.5">
      <c r="B7" s="18" t="s">
        <v>86</v>
      </c>
      <c r="C7" s="25">
        <f>C5-C6</f>
        <v>22185</v>
      </c>
      <c r="D7" s="26">
        <f>D5-D6</f>
        <v>22040</v>
      </c>
      <c r="G7" s="18" t="s">
        <v>81</v>
      </c>
      <c r="H7" s="1"/>
      <c r="I7" s="19"/>
      <c r="J7" s="20"/>
    </row>
    <row r="8" spans="1:18" ht="16">
      <c r="B8" s="18" t="s">
        <v>88</v>
      </c>
      <c r="C8" s="27"/>
      <c r="D8" s="28"/>
      <c r="G8" s="21" t="s">
        <v>83</v>
      </c>
      <c r="H8" s="1"/>
      <c r="I8" s="23">
        <v>20330</v>
      </c>
      <c r="J8" s="24">
        <v>18942</v>
      </c>
    </row>
    <row r="9" spans="1:18" ht="16">
      <c r="B9" s="21" t="s">
        <v>90</v>
      </c>
      <c r="C9" s="32">
        <v>847</v>
      </c>
      <c r="D9" s="23">
        <v>800</v>
      </c>
      <c r="G9" s="21" t="s">
        <v>85</v>
      </c>
      <c r="H9" s="1"/>
      <c r="I9" s="23">
        <v>18261</v>
      </c>
      <c r="J9" s="24">
        <v>15999</v>
      </c>
    </row>
    <row r="10" spans="1:18" ht="16">
      <c r="B10" s="29" t="s">
        <v>92</v>
      </c>
      <c r="C10" s="22">
        <v>6873</v>
      </c>
      <c r="D10" s="30">
        <v>7091</v>
      </c>
      <c r="G10" s="21" t="s">
        <v>87</v>
      </c>
      <c r="H10" s="1"/>
      <c r="I10" s="23">
        <v>10347</v>
      </c>
      <c r="J10" s="24">
        <v>10558</v>
      </c>
    </row>
    <row r="11" spans="1:18" ht="16">
      <c r="B11" s="21" t="s">
        <v>94</v>
      </c>
      <c r="C11" s="22">
        <f>5676-847+934</f>
        <v>5763</v>
      </c>
      <c r="D11" s="23">
        <f>5582-800+1064</f>
        <v>5846</v>
      </c>
      <c r="G11" s="29" t="s">
        <v>89</v>
      </c>
      <c r="H11" s="1"/>
      <c r="I11" s="30">
        <v>5119</v>
      </c>
      <c r="J11" s="31">
        <v>2722</v>
      </c>
    </row>
    <row r="12" spans="1:18" ht="16">
      <c r="B12" s="18" t="s">
        <v>96</v>
      </c>
      <c r="C12" s="25">
        <f>SUM(C9:C11)</f>
        <v>13483</v>
      </c>
      <c r="D12" s="26">
        <f>SUM(D9:D11)</f>
        <v>13737</v>
      </c>
      <c r="G12" s="21" t="s">
        <v>91</v>
      </c>
      <c r="H12" s="1"/>
      <c r="I12" s="23">
        <v>1465</v>
      </c>
      <c r="J12" s="24">
        <v>1474</v>
      </c>
    </row>
    <row r="13" spans="1:18" ht="16">
      <c r="B13" s="18" t="s">
        <v>97</v>
      </c>
      <c r="C13" s="25">
        <f>C7-C12</f>
        <v>8702</v>
      </c>
      <c r="D13" s="26">
        <f>D7-D12</f>
        <v>8303</v>
      </c>
      <c r="G13" s="21" t="s">
        <v>93</v>
      </c>
      <c r="H13" s="1"/>
      <c r="I13" s="30">
        <v>1198</v>
      </c>
      <c r="J13" s="31">
        <v>876</v>
      </c>
    </row>
    <row r="14" spans="1:18" ht="16">
      <c r="B14" s="21" t="s">
        <v>99</v>
      </c>
      <c r="C14" s="32">
        <v>354</v>
      </c>
      <c r="D14" s="30">
        <v>505</v>
      </c>
      <c r="G14" s="21" t="s">
        <v>95</v>
      </c>
      <c r="H14" s="1"/>
      <c r="I14" s="30">
        <v>974</v>
      </c>
      <c r="J14" s="31">
        <v>931</v>
      </c>
    </row>
    <row r="15" spans="1:18" ht="16">
      <c r="B15" s="29" t="s">
        <v>101</v>
      </c>
      <c r="C15" s="32">
        <v>191</v>
      </c>
      <c r="D15" s="30">
        <v>175</v>
      </c>
      <c r="G15" s="8"/>
      <c r="H15" s="1"/>
      <c r="I15" s="33">
        <f>SUM(I8:I14)</f>
        <v>57694</v>
      </c>
      <c r="J15" s="34">
        <f>SUM(J8:J14)</f>
        <v>51502</v>
      </c>
    </row>
    <row r="16" spans="1:18" ht="16">
      <c r="B16" s="29" t="s">
        <v>103</v>
      </c>
      <c r="C16" s="32">
        <v>91</v>
      </c>
      <c r="D16" s="30">
        <v>3</v>
      </c>
      <c r="G16" s="18" t="s">
        <v>98</v>
      </c>
      <c r="H16" s="1"/>
      <c r="I16" s="19"/>
      <c r="J16" s="20"/>
    </row>
    <row r="17" spans="2:10" ht="32">
      <c r="B17" s="35" t="s">
        <v>105</v>
      </c>
      <c r="C17" s="36">
        <v>-74</v>
      </c>
      <c r="D17" s="30">
        <v>20</v>
      </c>
      <c r="G17" s="21" t="s">
        <v>100</v>
      </c>
      <c r="H17" s="1"/>
      <c r="I17" s="23">
        <v>4683</v>
      </c>
      <c r="J17" s="24">
        <v>4462</v>
      </c>
    </row>
    <row r="18" spans="2:10" ht="16">
      <c r="B18" s="18" t="s">
        <v>107</v>
      </c>
      <c r="C18" s="25">
        <f>C13-C14+C15+C16+C17</f>
        <v>8556</v>
      </c>
      <c r="D18" s="26">
        <f>D13-D14+D15+D16+D17</f>
        <v>7996</v>
      </c>
      <c r="G18" s="21" t="s">
        <v>102</v>
      </c>
      <c r="H18" s="1"/>
      <c r="I18" s="23">
        <v>5422</v>
      </c>
      <c r="J18" s="24">
        <v>4939</v>
      </c>
    </row>
    <row r="19" spans="2:10" ht="16">
      <c r="B19" s="21" t="s">
        <v>109</v>
      </c>
      <c r="C19" s="22">
        <v>1935</v>
      </c>
      <c r="D19" s="23">
        <v>1923</v>
      </c>
      <c r="G19" s="21" t="s">
        <v>104</v>
      </c>
      <c r="H19" s="1"/>
      <c r="I19" s="30">
        <v>324</v>
      </c>
      <c r="J19" s="31">
        <v>372</v>
      </c>
    </row>
    <row r="20" spans="2:10" ht="16">
      <c r="B20" s="18" t="s">
        <v>111</v>
      </c>
      <c r="C20" s="25">
        <f>C18-C19</f>
        <v>6621</v>
      </c>
      <c r="D20" s="26">
        <f>D18-D19</f>
        <v>6073</v>
      </c>
      <c r="G20" s="21" t="s">
        <v>106</v>
      </c>
      <c r="H20" s="1"/>
      <c r="I20" s="23">
        <v>3415</v>
      </c>
      <c r="J20" s="24">
        <v>5548</v>
      </c>
    </row>
    <row r="21" spans="2:10" ht="16">
      <c r="B21" s="8"/>
      <c r="C21" s="37"/>
      <c r="D21" s="28"/>
      <c r="G21" s="21" t="s">
        <v>108</v>
      </c>
      <c r="H21" s="1"/>
      <c r="I21" s="30">
        <v>1156</v>
      </c>
      <c r="J21" s="31">
        <v>808</v>
      </c>
    </row>
    <row r="22" spans="2:10" ht="16">
      <c r="B22" s="40"/>
      <c r="C22" s="41"/>
      <c r="D22" s="42"/>
      <c r="G22" s="21" t="s">
        <v>110</v>
      </c>
      <c r="H22" s="1"/>
      <c r="I22" s="30">
        <v>2401</v>
      </c>
      <c r="J22" s="31">
        <v>28</v>
      </c>
    </row>
    <row r="23" spans="2:10" ht="15.5">
      <c r="G23" s="8"/>
      <c r="H23" s="1"/>
      <c r="I23" s="33">
        <f>SUM(I17:I22)</f>
        <v>17401</v>
      </c>
      <c r="J23" s="34">
        <f>SUM(J17:J22)</f>
        <v>16157</v>
      </c>
    </row>
    <row r="24" spans="2:10" ht="15.5">
      <c r="G24" s="18" t="s">
        <v>112</v>
      </c>
      <c r="H24" s="38"/>
      <c r="I24" s="26">
        <f>I23+I15</f>
        <v>75095</v>
      </c>
      <c r="J24" s="39">
        <f>J23+J15</f>
        <v>67659</v>
      </c>
    </row>
    <row r="25" spans="2:10" ht="15.5">
      <c r="G25" s="12" t="s">
        <v>113</v>
      </c>
      <c r="H25" s="5"/>
      <c r="I25" s="13"/>
      <c r="J25" s="14"/>
    </row>
    <row r="26" spans="2:10" ht="15.5">
      <c r="G26" s="18" t="s">
        <v>114</v>
      </c>
      <c r="H26" s="1"/>
      <c r="I26" s="19"/>
      <c r="J26" s="20"/>
    </row>
    <row r="27" spans="2:10" ht="16">
      <c r="G27" s="21" t="s">
        <v>115</v>
      </c>
      <c r="H27" s="1"/>
      <c r="I27" s="23">
        <v>7252</v>
      </c>
      <c r="J27" s="24">
        <v>4461</v>
      </c>
    </row>
    <row r="28" spans="2:10" ht="16">
      <c r="G28" s="29" t="s">
        <v>116</v>
      </c>
      <c r="H28" s="1"/>
      <c r="I28" s="23">
        <v>14861</v>
      </c>
      <c r="J28" s="24">
        <v>14132</v>
      </c>
    </row>
    <row r="29" spans="2:10" ht="16">
      <c r="G29" s="21" t="s">
        <v>117</v>
      </c>
      <c r="H29" s="1"/>
      <c r="I29" s="30">
        <v>1365</v>
      </c>
      <c r="J29" s="24">
        <v>1451</v>
      </c>
    </row>
    <row r="30" spans="2:10" ht="16">
      <c r="G30" s="21" t="s">
        <v>118</v>
      </c>
      <c r="H30" s="1"/>
      <c r="I30" s="30">
        <v>480</v>
      </c>
      <c r="J30" s="31">
        <v>547</v>
      </c>
    </row>
    <row r="31" spans="2:10" ht="16">
      <c r="G31" s="21" t="s">
        <v>119</v>
      </c>
      <c r="H31" s="1"/>
      <c r="I31" s="30">
        <v>820</v>
      </c>
      <c r="J31" s="24">
        <v>1</v>
      </c>
    </row>
    <row r="32" spans="2:10" ht="15.5">
      <c r="G32" s="8"/>
      <c r="H32" s="1"/>
      <c r="I32" s="43">
        <f>SUM(I27:I31)</f>
        <v>24778</v>
      </c>
      <c r="J32" s="43">
        <f>SUM(J27:J31)</f>
        <v>20592</v>
      </c>
    </row>
    <row r="33" spans="7:10" ht="15.5">
      <c r="G33" s="18" t="s">
        <v>120</v>
      </c>
      <c r="H33" s="1"/>
      <c r="I33" s="19"/>
      <c r="J33" s="20"/>
    </row>
    <row r="34" spans="7:10" ht="16">
      <c r="G34" s="21" t="s">
        <v>115</v>
      </c>
      <c r="H34" s="1"/>
      <c r="I34" s="23">
        <v>22881</v>
      </c>
      <c r="J34" s="24">
        <v>22844</v>
      </c>
    </row>
    <row r="35" spans="7:10" ht="16">
      <c r="G35" s="21" t="s">
        <v>121</v>
      </c>
      <c r="H35" s="1"/>
      <c r="I35" s="30">
        <v>148</v>
      </c>
      <c r="J35" s="31">
        <v>149</v>
      </c>
    </row>
    <row r="36" spans="7:10" ht="32">
      <c r="G36" s="29" t="s">
        <v>122</v>
      </c>
      <c r="H36" s="1"/>
      <c r="I36" s="19"/>
      <c r="J36" s="20"/>
    </row>
    <row r="37" spans="7:10" ht="16">
      <c r="G37" s="21" t="s">
        <v>123</v>
      </c>
      <c r="H37" s="1"/>
      <c r="I37" s="23">
        <v>831</v>
      </c>
      <c r="J37" s="24">
        <v>1109</v>
      </c>
    </row>
    <row r="38" spans="7:10" ht="16">
      <c r="G38" s="21" t="s">
        <v>124</v>
      </c>
      <c r="H38" s="1"/>
      <c r="I38" s="23">
        <v>1295</v>
      </c>
      <c r="J38" s="24">
        <v>1326</v>
      </c>
    </row>
    <row r="39" spans="7:10" ht="16">
      <c r="G39" s="21" t="s">
        <v>118</v>
      </c>
      <c r="H39" s="1"/>
      <c r="I39" s="23">
        <v>611</v>
      </c>
      <c r="J39" s="31">
        <v>583</v>
      </c>
    </row>
    <row r="40" spans="7:10" ht="16">
      <c r="G40" s="21" t="s">
        <v>125</v>
      </c>
      <c r="H40" s="1"/>
      <c r="I40" s="23">
        <v>4530</v>
      </c>
      <c r="J40" s="24">
        <v>3166</v>
      </c>
    </row>
    <row r="41" spans="7:10" ht="16">
      <c r="G41" s="21" t="s">
        <v>126</v>
      </c>
      <c r="H41" s="1"/>
      <c r="I41" s="30">
        <v>275</v>
      </c>
      <c r="J41" s="31">
        <v>235</v>
      </c>
    </row>
    <row r="42" spans="7:10" ht="15.5">
      <c r="G42" s="8"/>
      <c r="H42" s="1"/>
      <c r="I42" s="43">
        <f>SUM(I34:I41)</f>
        <v>30571</v>
      </c>
      <c r="J42" s="44">
        <f>SUM(J34:J41)</f>
        <v>29412</v>
      </c>
    </row>
    <row r="43" spans="7:10" ht="15.5">
      <c r="G43" s="45" t="s">
        <v>127</v>
      </c>
      <c r="H43" s="45"/>
      <c r="I43" s="33">
        <f>I42+I32</f>
        <v>55349</v>
      </c>
      <c r="J43" s="34">
        <f>J42+J32</f>
        <v>50004</v>
      </c>
    </row>
    <row r="44" spans="7:10" ht="15.5">
      <c r="G44" s="18" t="s">
        <v>128</v>
      </c>
      <c r="H44" s="1"/>
      <c r="I44" s="19"/>
      <c r="J44" s="20"/>
    </row>
    <row r="45" spans="7:10" ht="16">
      <c r="G45" s="21" t="s">
        <v>129</v>
      </c>
      <c r="H45" s="1"/>
      <c r="I45" s="30">
        <v>17107</v>
      </c>
      <c r="J45" s="31">
        <v>15266</v>
      </c>
    </row>
    <row r="46" spans="7:10" ht="16">
      <c r="G46" s="21" t="s">
        <v>130</v>
      </c>
      <c r="H46" s="1"/>
      <c r="I46" s="30">
        <v>2639</v>
      </c>
      <c r="J46" s="31">
        <v>2389</v>
      </c>
    </row>
    <row r="47" spans="7:10" ht="15.5">
      <c r="G47" s="18" t="s">
        <v>131</v>
      </c>
      <c r="H47" s="38"/>
      <c r="I47" s="17">
        <f>I45+I46</f>
        <v>19746</v>
      </c>
      <c r="J47" s="17">
        <f>J45+J46</f>
        <v>17655</v>
      </c>
    </row>
    <row r="48" spans="7:10" ht="15.5">
      <c r="G48" s="46" t="s">
        <v>132</v>
      </c>
      <c r="H48" s="47"/>
      <c r="I48" s="48">
        <f>I47+I43</f>
        <v>75095</v>
      </c>
      <c r="J48" s="48">
        <f>J47+J43</f>
        <v>67659</v>
      </c>
    </row>
    <row r="49" ht="15.5"/>
  </sheetData>
  <mergeCells count="1">
    <mergeCell ref="A1:J1"/>
  </mergeCells>
  <pageMargins left="0.25" right="0.25" top="0.4" bottom="0.4" header="0.511811023622047" footer="0.2"/>
  <pageSetup paperSize="9" scale="63" fitToHeight="0" orientation="landscape" horizontalDpi="300" verticalDpi="300" r:id="rId1"/>
  <headerFooter>
    <oddFooter>&amp;CUnilever Group Financial Analysis | Portfolio Project&amp;RPage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S52"/>
  <sheetViews>
    <sheetView showGridLines="0" tabSelected="1" zoomScale="68" zoomScaleNormal="35" workbookViewId="0">
      <selection sqref="A1:I45"/>
    </sheetView>
  </sheetViews>
  <sheetFormatPr defaultColWidth="8.83203125" defaultRowHeight="15" customHeight="1"/>
  <cols>
    <col min="2" max="2" width="74.1640625" customWidth="1"/>
    <col min="3" max="8" width="13.6640625" style="1" customWidth="1"/>
    <col min="10" max="10" width="43" customWidth="1"/>
    <col min="12" max="13" width="13.83203125" customWidth="1"/>
    <col min="14" max="15" width="15" customWidth="1"/>
    <col min="16" max="16" width="11.25" customWidth="1"/>
  </cols>
  <sheetData>
    <row r="1" spans="2:19" ht="31.5" customHeight="1">
      <c r="B1" s="314" t="s">
        <v>74</v>
      </c>
      <c r="C1" s="314"/>
      <c r="D1" s="314"/>
      <c r="E1" s="314"/>
      <c r="F1" s="314"/>
      <c r="G1" s="314"/>
      <c r="H1" s="314"/>
      <c r="I1" s="314"/>
      <c r="J1" s="314"/>
      <c r="K1" s="314"/>
      <c r="L1" s="314"/>
      <c r="M1" s="314"/>
      <c r="N1" s="314"/>
      <c r="O1" s="314"/>
      <c r="P1" s="314"/>
      <c r="Q1" s="229"/>
      <c r="R1" s="229"/>
      <c r="S1" s="229"/>
    </row>
    <row r="2" spans="2:19" ht="15" customHeight="1">
      <c r="B2" s="328" t="s">
        <v>133</v>
      </c>
      <c r="C2" s="328"/>
      <c r="D2" s="328"/>
      <c r="E2" s="328"/>
      <c r="F2" s="328"/>
      <c r="G2" s="328"/>
      <c r="H2"/>
      <c r="I2" s="49"/>
      <c r="J2" s="328" t="s">
        <v>134</v>
      </c>
      <c r="K2" s="328"/>
      <c r="L2" s="328"/>
      <c r="M2" s="328"/>
      <c r="N2" s="328"/>
      <c r="O2" s="328"/>
      <c r="P2" s="328"/>
    </row>
    <row r="3" spans="2:19" ht="15" customHeight="1">
      <c r="B3" s="144" t="s">
        <v>78</v>
      </c>
      <c r="C3"/>
      <c r="D3"/>
      <c r="E3" s="36" t="s">
        <v>79</v>
      </c>
      <c r="F3"/>
      <c r="G3"/>
      <c r="H3"/>
      <c r="J3" s="3" t="s">
        <v>76</v>
      </c>
      <c r="K3" s="1"/>
      <c r="L3" s="1"/>
      <c r="M3" s="1"/>
      <c r="N3" s="1"/>
      <c r="O3" s="1"/>
    </row>
    <row r="4" spans="2:19" ht="15" customHeight="1">
      <c r="B4" s="15"/>
      <c r="C4" s="204">
        <v>2021</v>
      </c>
      <c r="D4" s="50" t="s">
        <v>135</v>
      </c>
      <c r="E4" s="205">
        <v>2020</v>
      </c>
      <c r="F4" s="50" t="s">
        <v>135</v>
      </c>
      <c r="G4" s="204" t="s">
        <v>136</v>
      </c>
      <c r="H4" s="206"/>
      <c r="J4" s="4"/>
      <c r="K4" s="5"/>
      <c r="L4" s="6" t="s">
        <v>17</v>
      </c>
      <c r="M4" s="51" t="s">
        <v>137</v>
      </c>
      <c r="N4" s="7" t="s">
        <v>17</v>
      </c>
      <c r="O4" s="52" t="s">
        <v>137</v>
      </c>
      <c r="P4" s="52" t="s">
        <v>138</v>
      </c>
    </row>
    <row r="5" spans="2:19" ht="25.5" customHeight="1">
      <c r="B5" s="21" t="s">
        <v>82</v>
      </c>
      <c r="C5" s="23">
        <v>52444</v>
      </c>
      <c r="D5" s="54">
        <v>1</v>
      </c>
      <c r="E5" s="55">
        <v>50724</v>
      </c>
      <c r="F5" s="54">
        <v>1</v>
      </c>
      <c r="G5" s="54">
        <f>F5-D5</f>
        <v>0</v>
      </c>
      <c r="H5" s="207"/>
      <c r="J5" s="8"/>
      <c r="K5" s="1"/>
      <c r="L5" s="9">
        <v>2021</v>
      </c>
      <c r="M5" s="10" t="s">
        <v>139</v>
      </c>
      <c r="N5" s="10">
        <v>2020</v>
      </c>
      <c r="O5" s="56" t="s">
        <v>139</v>
      </c>
      <c r="P5" s="56" t="s">
        <v>140</v>
      </c>
    </row>
    <row r="6" spans="2:19" ht="18" customHeight="1">
      <c r="B6" s="21" t="s">
        <v>84</v>
      </c>
      <c r="C6" s="23">
        <v>30259</v>
      </c>
      <c r="D6" s="57">
        <f>C6/C5%</f>
        <v>57.697734726565471</v>
      </c>
      <c r="E6" s="55">
        <v>28684</v>
      </c>
      <c r="F6" s="54">
        <f>E6/E5</f>
        <v>0.56549168046684017</v>
      </c>
      <c r="G6" s="54">
        <f>F6/D6</f>
        <v>9.800933834694792E-3</v>
      </c>
      <c r="H6" s="207"/>
      <c r="J6" s="12" t="s">
        <v>80</v>
      </c>
      <c r="K6" s="5"/>
      <c r="L6" s="13"/>
      <c r="M6" s="14"/>
      <c r="N6" s="14"/>
      <c r="O6" s="19"/>
      <c r="P6" s="58"/>
    </row>
    <row r="7" spans="2:19" ht="28" customHeight="1">
      <c r="B7" s="208" t="s">
        <v>86</v>
      </c>
      <c r="C7" s="209">
        <f>C5-C6</f>
        <v>22185</v>
      </c>
      <c r="D7" s="210">
        <f>C7/$C$5</f>
        <v>0.42302265273434519</v>
      </c>
      <c r="E7" s="211">
        <f>E5-E6</f>
        <v>22040</v>
      </c>
      <c r="F7" s="210">
        <f t="shared" ref="F7:F20" si="0">E7/$E$5</f>
        <v>0.43450831953315983</v>
      </c>
      <c r="G7" s="212">
        <f>F7-D7</f>
        <v>1.1485666798814631E-2</v>
      </c>
      <c r="H7" s="213"/>
      <c r="J7" s="18" t="s">
        <v>81</v>
      </c>
      <c r="K7" s="1"/>
      <c r="L7" s="19"/>
      <c r="M7" s="20"/>
      <c r="N7" s="20"/>
      <c r="O7" s="19"/>
      <c r="P7" s="59"/>
    </row>
    <row r="8" spans="2:19" ht="16">
      <c r="B8" s="208" t="s">
        <v>88</v>
      </c>
      <c r="C8" s="19"/>
      <c r="D8" s="214"/>
      <c r="E8" s="207"/>
      <c r="F8" s="215">
        <f t="shared" si="0"/>
        <v>0</v>
      </c>
      <c r="G8" s="216"/>
      <c r="H8" s="207"/>
      <c r="J8" s="21" t="s">
        <v>83</v>
      </c>
      <c r="K8" s="1"/>
      <c r="L8" s="23">
        <v>20330</v>
      </c>
      <c r="M8" s="60">
        <f t="shared" ref="M8:M23" si="1">L8/$L$24</f>
        <v>0.27072374991677212</v>
      </c>
      <c r="N8" s="24">
        <v>18942</v>
      </c>
      <c r="O8" s="54">
        <f t="shared" ref="O8:O23" si="2">N8/$N$24</f>
        <v>0.27996275440074492</v>
      </c>
      <c r="P8" s="54">
        <f t="array" ref="P8:P23">O8:O23-M8:M23</f>
        <v>9.2390044839728014E-3</v>
      </c>
      <c r="Q8" s="53"/>
    </row>
    <row r="9" spans="2:19" ht="16">
      <c r="B9" s="21" t="s">
        <v>90</v>
      </c>
      <c r="C9" s="30">
        <v>847</v>
      </c>
      <c r="D9" s="215">
        <f t="shared" ref="D9:D20" si="3">C9/$C$5</f>
        <v>1.615056059797117E-2</v>
      </c>
      <c r="E9" s="55">
        <v>800</v>
      </c>
      <c r="F9" s="215">
        <f t="shared" si="0"/>
        <v>1.5771626843308888E-2</v>
      </c>
      <c r="G9" s="54">
        <f t="shared" ref="G9:G20" si="4">F9-D9</f>
        <v>-3.7893375466228202E-4</v>
      </c>
      <c r="H9" s="207"/>
      <c r="J9" s="21" t="s">
        <v>85</v>
      </c>
      <c r="K9" s="1"/>
      <c r="L9" s="23">
        <v>18261</v>
      </c>
      <c r="M9" s="60">
        <f t="shared" si="1"/>
        <v>0.2431719821559358</v>
      </c>
      <c r="N9" s="24">
        <v>15999</v>
      </c>
      <c r="O9" s="54">
        <f t="shared" si="2"/>
        <v>0.23646521527069569</v>
      </c>
      <c r="P9" s="54">
        <v>-6.7067668852401063E-3</v>
      </c>
    </row>
    <row r="10" spans="2:19" ht="16">
      <c r="B10" s="29" t="s">
        <v>92</v>
      </c>
      <c r="C10" s="23">
        <v>6873</v>
      </c>
      <c r="D10" s="215">
        <f t="shared" si="3"/>
        <v>0.13105407672946381</v>
      </c>
      <c r="E10" s="36">
        <v>7091</v>
      </c>
      <c r="F10" s="215">
        <f t="shared" si="0"/>
        <v>0.13979575743237915</v>
      </c>
      <c r="G10" s="54">
        <f t="shared" si="4"/>
        <v>8.7416807029153387E-3</v>
      </c>
      <c r="J10" s="21" t="s">
        <v>87</v>
      </c>
      <c r="K10" s="1"/>
      <c r="L10" s="23">
        <v>10347</v>
      </c>
      <c r="M10" s="60">
        <f t="shared" si="1"/>
        <v>0.13778547173580133</v>
      </c>
      <c r="N10" s="24">
        <v>10558</v>
      </c>
      <c r="O10" s="54">
        <f t="shared" si="2"/>
        <v>0.15604723687905525</v>
      </c>
      <c r="P10" s="54">
        <v>1.8261765143253922E-2</v>
      </c>
    </row>
    <row r="11" spans="2:19" ht="16">
      <c r="B11" s="21" t="s">
        <v>94</v>
      </c>
      <c r="C11" s="23">
        <f>5676-847+934</f>
        <v>5763</v>
      </c>
      <c r="D11" s="215">
        <f t="shared" si="3"/>
        <v>0.10988864312409427</v>
      </c>
      <c r="E11" s="55">
        <f>5582-800+1064</f>
        <v>5846</v>
      </c>
      <c r="F11" s="215">
        <f t="shared" si="0"/>
        <v>0.1152511631574797</v>
      </c>
      <c r="G11" s="54">
        <f t="shared" si="4"/>
        <v>5.3625200333854289E-3</v>
      </c>
      <c r="H11" s="207"/>
      <c r="J11" s="29" t="s">
        <v>89</v>
      </c>
      <c r="K11" s="1"/>
      <c r="L11" s="30">
        <v>5119</v>
      </c>
      <c r="M11" s="60">
        <f t="shared" si="1"/>
        <v>6.8166988481257074E-2</v>
      </c>
      <c r="N11" s="31">
        <v>2722</v>
      </c>
      <c r="O11" s="54">
        <f t="shared" si="2"/>
        <v>4.0231159195376814E-2</v>
      </c>
      <c r="P11" s="54">
        <v>-2.7935829285880259E-2</v>
      </c>
    </row>
    <row r="12" spans="2:19" ht="16">
      <c r="B12" s="208" t="s">
        <v>96</v>
      </c>
      <c r="C12" s="209">
        <f>SUM(C9:C11)</f>
        <v>13483</v>
      </c>
      <c r="D12" s="210">
        <f t="shared" si="3"/>
        <v>0.25709328045152924</v>
      </c>
      <c r="E12" s="211">
        <f>SUM(E9:E11)</f>
        <v>13737</v>
      </c>
      <c r="F12" s="210">
        <f t="shared" si="0"/>
        <v>0.27081854743316774</v>
      </c>
      <c r="G12" s="54">
        <f t="shared" si="4"/>
        <v>1.3725266981638506E-2</v>
      </c>
      <c r="H12" s="213"/>
      <c r="J12" s="21" t="s">
        <v>91</v>
      </c>
      <c r="K12" s="1"/>
      <c r="L12" s="23">
        <v>1465</v>
      </c>
      <c r="M12" s="60">
        <f t="shared" si="1"/>
        <v>1.950862241161196E-2</v>
      </c>
      <c r="N12" s="24">
        <v>1474</v>
      </c>
      <c r="O12" s="54">
        <f t="shared" si="2"/>
        <v>2.178571956428561E-2</v>
      </c>
      <c r="P12" s="54">
        <v>2.2770971526736503E-3</v>
      </c>
    </row>
    <row r="13" spans="2:19" ht="16">
      <c r="B13" s="208" t="s">
        <v>97</v>
      </c>
      <c r="C13" s="209">
        <f>C7-C12</f>
        <v>8702</v>
      </c>
      <c r="D13" s="210">
        <f t="shared" si="3"/>
        <v>0.16592937228281596</v>
      </c>
      <c r="E13" s="211">
        <f>E7-E12</f>
        <v>8303</v>
      </c>
      <c r="F13" s="210">
        <f t="shared" si="0"/>
        <v>0.16368977209999211</v>
      </c>
      <c r="G13" s="54">
        <f t="shared" si="4"/>
        <v>-2.2396001828238477E-3</v>
      </c>
      <c r="H13" s="213"/>
      <c r="J13" s="21" t="s">
        <v>93</v>
      </c>
      <c r="K13" s="1"/>
      <c r="L13" s="30">
        <v>1198</v>
      </c>
      <c r="M13" s="60">
        <f t="shared" si="1"/>
        <v>1.5953126040348892E-2</v>
      </c>
      <c r="N13" s="31">
        <v>876</v>
      </c>
      <c r="O13" s="54">
        <f t="shared" si="2"/>
        <v>1.2947279741054404E-2</v>
      </c>
      <c r="P13" s="54">
        <v>-3.005846299294488E-3</v>
      </c>
    </row>
    <row r="14" spans="2:19" ht="16">
      <c r="B14" s="21" t="s">
        <v>99</v>
      </c>
      <c r="C14" s="30">
        <v>354</v>
      </c>
      <c r="D14" s="215">
        <f t="shared" si="3"/>
        <v>6.7500572038746093E-3</v>
      </c>
      <c r="E14" s="36">
        <v>505</v>
      </c>
      <c r="F14" s="215">
        <f t="shared" si="0"/>
        <v>9.9558394448387346E-3</v>
      </c>
      <c r="G14" s="54">
        <f t="shared" si="4"/>
        <v>3.2057822409641253E-3</v>
      </c>
      <c r="J14" s="21" t="s">
        <v>95</v>
      </c>
      <c r="K14" s="1"/>
      <c r="L14" s="30">
        <v>974</v>
      </c>
      <c r="M14" s="60">
        <f t="shared" si="1"/>
        <v>1.2970237698914708E-2</v>
      </c>
      <c r="N14" s="31">
        <v>931</v>
      </c>
      <c r="O14" s="54">
        <f t="shared" si="2"/>
        <v>1.3760179724796406E-2</v>
      </c>
      <c r="P14" s="54">
        <v>7.899420258816979E-4</v>
      </c>
    </row>
    <row r="15" spans="2:19" ht="16">
      <c r="B15" s="29" t="s">
        <v>101</v>
      </c>
      <c r="C15" s="30">
        <v>191</v>
      </c>
      <c r="D15" s="215">
        <f t="shared" si="3"/>
        <v>3.6419800167798032E-3</v>
      </c>
      <c r="E15" s="36">
        <v>175</v>
      </c>
      <c r="F15" s="215">
        <f t="shared" si="0"/>
        <v>3.4500433719738192E-3</v>
      </c>
      <c r="G15" s="54">
        <f t="shared" si="4"/>
        <v>-1.9193664480598397E-4</v>
      </c>
      <c r="J15" s="8"/>
      <c r="K15" s="1"/>
      <c r="L15" s="33">
        <f>SUM(L8:L14)</f>
        <v>57694</v>
      </c>
      <c r="M15" s="61">
        <f t="shared" si="1"/>
        <v>0.76828017844064189</v>
      </c>
      <c r="N15" s="34">
        <f>SUM(N8:N14)</f>
        <v>51502</v>
      </c>
      <c r="O15" s="62">
        <f t="shared" si="2"/>
        <v>0.76119954477600915</v>
      </c>
      <c r="P15" s="61">
        <v>-7.0806336646327406E-3</v>
      </c>
    </row>
    <row r="16" spans="2:19" ht="16">
      <c r="B16" s="29" t="s">
        <v>103</v>
      </c>
      <c r="C16" s="30">
        <v>91</v>
      </c>
      <c r="D16" s="215">
        <f t="shared" si="3"/>
        <v>1.7351841964762414E-3</v>
      </c>
      <c r="E16" s="36">
        <v>3</v>
      </c>
      <c r="F16" s="215">
        <f t="shared" si="0"/>
        <v>5.9143600662408327E-5</v>
      </c>
      <c r="G16" s="54">
        <f t="shared" si="4"/>
        <v>-1.6760405958138331E-3</v>
      </c>
      <c r="J16" s="18" t="s">
        <v>98</v>
      </c>
      <c r="K16" s="1"/>
      <c r="L16" s="19"/>
      <c r="M16" s="60">
        <f t="shared" si="1"/>
        <v>0</v>
      </c>
      <c r="N16" s="20"/>
      <c r="O16" s="54">
        <f t="shared" si="2"/>
        <v>0</v>
      </c>
      <c r="P16" s="54">
        <v>0</v>
      </c>
    </row>
    <row r="17" spans="2:18" ht="32">
      <c r="B17" s="63" t="s">
        <v>105</v>
      </c>
      <c r="C17" s="36">
        <v>-74</v>
      </c>
      <c r="D17" s="215">
        <f t="shared" si="3"/>
        <v>-1.4110289070246359E-3</v>
      </c>
      <c r="E17" s="36">
        <v>20</v>
      </c>
      <c r="F17" s="215">
        <f t="shared" si="0"/>
        <v>3.9429067108272221E-4</v>
      </c>
      <c r="G17" s="54">
        <f t="shared" si="4"/>
        <v>1.8053195781073581E-3</v>
      </c>
      <c r="J17" s="21" t="s">
        <v>100</v>
      </c>
      <c r="K17" s="1"/>
      <c r="L17" s="23">
        <v>4683</v>
      </c>
      <c r="M17" s="60">
        <f t="shared" si="1"/>
        <v>6.2361009388108395E-2</v>
      </c>
      <c r="N17" s="24">
        <v>4462</v>
      </c>
      <c r="O17" s="54">
        <f t="shared" si="2"/>
        <v>6.5948358681032826E-2</v>
      </c>
      <c r="P17" s="54">
        <v>3.5873492929244313E-3</v>
      </c>
    </row>
    <row r="18" spans="2:18" ht="16">
      <c r="B18" s="208" t="s">
        <v>107</v>
      </c>
      <c r="C18" s="209">
        <f>C13-C14+C15+C16+C17</f>
        <v>8556</v>
      </c>
      <c r="D18" s="210">
        <f t="shared" si="3"/>
        <v>0.16314545038517275</v>
      </c>
      <c r="E18" s="211">
        <f>E13-E14+E15+E16+E17</f>
        <v>7996</v>
      </c>
      <c r="F18" s="210">
        <f t="shared" si="0"/>
        <v>0.15763741029887232</v>
      </c>
      <c r="G18" s="54">
        <f t="shared" si="4"/>
        <v>-5.5080400863004308E-3</v>
      </c>
      <c r="H18" s="213"/>
      <c r="J18" s="21" t="s">
        <v>102</v>
      </c>
      <c r="K18" s="1"/>
      <c r="L18" s="23">
        <v>5422</v>
      </c>
      <c r="M18" s="60">
        <f t="shared" si="1"/>
        <v>7.2201877621679206E-2</v>
      </c>
      <c r="N18" s="24">
        <v>4939</v>
      </c>
      <c r="O18" s="54">
        <f t="shared" si="2"/>
        <v>7.2998418540031626E-2</v>
      </c>
      <c r="P18" s="54">
        <v>7.9654091835242025E-4</v>
      </c>
    </row>
    <row r="19" spans="2:18" ht="16">
      <c r="B19" s="21" t="s">
        <v>109</v>
      </c>
      <c r="C19" s="23">
        <v>1935</v>
      </c>
      <c r="D19" s="215">
        <f t="shared" si="3"/>
        <v>3.6896499122873926E-2</v>
      </c>
      <c r="E19" s="55">
        <v>1923</v>
      </c>
      <c r="F19" s="215">
        <f t="shared" si="0"/>
        <v>3.7911048024603738E-2</v>
      </c>
      <c r="G19" s="54">
        <f t="shared" si="4"/>
        <v>1.0145489017298129E-3</v>
      </c>
      <c r="H19" s="207"/>
      <c r="J19" s="21" t="s">
        <v>104</v>
      </c>
      <c r="K19" s="1"/>
      <c r="L19" s="30">
        <v>324</v>
      </c>
      <c r="M19" s="60">
        <f t="shared" si="1"/>
        <v>4.3145349224315869E-3</v>
      </c>
      <c r="N19" s="31">
        <v>372</v>
      </c>
      <c r="O19" s="54">
        <f t="shared" si="2"/>
        <v>5.4981598900368019E-3</v>
      </c>
      <c r="P19" s="54">
        <v>1.183624967605215E-3</v>
      </c>
    </row>
    <row r="20" spans="2:18" ht="16">
      <c r="B20" s="208" t="s">
        <v>111</v>
      </c>
      <c r="C20" s="209">
        <f>C18-C19</f>
        <v>6621</v>
      </c>
      <c r="D20" s="210">
        <f t="shared" si="3"/>
        <v>0.12624895126229882</v>
      </c>
      <c r="E20" s="211">
        <f>E18-E19</f>
        <v>6073</v>
      </c>
      <c r="F20" s="210">
        <f t="shared" si="0"/>
        <v>0.1197263622742686</v>
      </c>
      <c r="G20" s="54">
        <f t="shared" si="4"/>
        <v>-6.5225889880302229E-3</v>
      </c>
      <c r="H20" s="213"/>
      <c r="J20" s="21" t="s">
        <v>106</v>
      </c>
      <c r="K20" s="1"/>
      <c r="L20" s="23">
        <v>3415</v>
      </c>
      <c r="M20" s="60">
        <f t="shared" si="1"/>
        <v>4.5475730741061322E-2</v>
      </c>
      <c r="N20" s="24">
        <v>5548</v>
      </c>
      <c r="O20" s="54">
        <f t="shared" si="2"/>
        <v>8.1999438360011237E-2</v>
      </c>
      <c r="P20" s="54">
        <v>3.6523707618949915E-2</v>
      </c>
    </row>
    <row r="21" spans="2:18" ht="16">
      <c r="B21" s="8"/>
      <c r="C21" s="28"/>
      <c r="D21" s="217"/>
      <c r="E21" s="207"/>
      <c r="F21" s="216"/>
      <c r="G21" s="28"/>
      <c r="H21" s="207"/>
      <c r="J21" s="21" t="s">
        <v>108</v>
      </c>
      <c r="K21" s="1"/>
      <c r="L21" s="30">
        <v>1156</v>
      </c>
      <c r="M21" s="60">
        <f t="shared" si="1"/>
        <v>1.5393834476329983E-2</v>
      </c>
      <c r="N21" s="31">
        <v>808</v>
      </c>
      <c r="O21" s="54">
        <f t="shared" si="2"/>
        <v>1.1942239761155205E-2</v>
      </c>
      <c r="P21" s="54">
        <v>-3.4515947151747776E-3</v>
      </c>
    </row>
    <row r="22" spans="2:18" ht="16">
      <c r="B22" s="40"/>
      <c r="C22" s="42"/>
      <c r="D22" s="218"/>
      <c r="E22" s="219"/>
      <c r="F22" s="220"/>
      <c r="G22" s="42"/>
      <c r="J22" s="21" t="s">
        <v>110</v>
      </c>
      <c r="K22" s="1"/>
      <c r="L22" s="30">
        <v>2401</v>
      </c>
      <c r="M22" s="60">
        <f t="shared" si="1"/>
        <v>3.1972834409747651E-2</v>
      </c>
      <c r="N22" s="31">
        <v>28</v>
      </c>
      <c r="O22" s="54">
        <f t="shared" si="2"/>
        <v>4.1383999172320019E-4</v>
      </c>
      <c r="P22" s="54">
        <v>-3.1558994418024448E-2</v>
      </c>
    </row>
    <row r="23" spans="2:18" ht="16">
      <c r="J23" s="8"/>
      <c r="K23" s="1"/>
      <c r="L23" s="33">
        <f>SUM(L17:L22)</f>
        <v>17401</v>
      </c>
      <c r="M23" s="61">
        <f t="shared" si="1"/>
        <v>0.23171982155935814</v>
      </c>
      <c r="N23" s="34">
        <f>SUM(N17:N22)</f>
        <v>16157</v>
      </c>
      <c r="O23" s="61">
        <f t="shared" si="2"/>
        <v>0.2388004552239909</v>
      </c>
      <c r="P23" s="61">
        <v>7.0806336646327683E-3</v>
      </c>
    </row>
    <row r="24" spans="2:18" ht="16">
      <c r="C24" s="207"/>
      <c r="D24" s="207"/>
      <c r="E24" s="207"/>
      <c r="F24" s="207"/>
      <c r="G24" s="207"/>
      <c r="H24" s="207"/>
      <c r="J24" s="18" t="s">
        <v>112</v>
      </c>
      <c r="K24" s="38"/>
      <c r="L24" s="26">
        <f>L23+L15</f>
        <v>75095</v>
      </c>
      <c r="M24" s="64">
        <v>1</v>
      </c>
      <c r="N24" s="39">
        <f>N23+N15</f>
        <v>67659</v>
      </c>
      <c r="O24" s="65">
        <v>1</v>
      </c>
      <c r="P24" s="61">
        <f>O24-M24</f>
        <v>0</v>
      </c>
    </row>
    <row r="25" spans="2:18" ht="15.5">
      <c r="J25" s="12" t="s">
        <v>113</v>
      </c>
      <c r="K25" s="5"/>
      <c r="L25" s="13"/>
      <c r="M25" s="14"/>
      <c r="N25" s="14"/>
      <c r="O25" s="19"/>
      <c r="P25" s="58"/>
    </row>
    <row r="26" spans="2:18" ht="15.5">
      <c r="J26" s="18" t="s">
        <v>114</v>
      </c>
      <c r="K26" s="1"/>
      <c r="L26" s="19"/>
      <c r="M26" s="20"/>
      <c r="N26" s="20"/>
      <c r="O26" s="19"/>
      <c r="P26" s="58"/>
    </row>
    <row r="27" spans="2:18" ht="16">
      <c r="J27" s="21" t="s">
        <v>115</v>
      </c>
      <c r="K27" s="1"/>
      <c r="L27" s="23">
        <v>7252</v>
      </c>
      <c r="M27" s="60">
        <f t="shared" ref="M27:M47" si="5">L27/$L$48</f>
        <v>9.6571010053931691E-2</v>
      </c>
      <c r="N27" s="24">
        <v>4461</v>
      </c>
      <c r="O27" s="54">
        <f t="shared" ref="O27:O47" si="6">N27/$N$48</f>
        <v>6.5933578681328431E-2</v>
      </c>
      <c r="P27" s="54">
        <f t="shared" ref="P27:P32" si="7">O27-M27</f>
        <v>-3.063743137260326E-2</v>
      </c>
    </row>
    <row r="28" spans="2:18" ht="16">
      <c r="J28" s="29" t="s">
        <v>116</v>
      </c>
      <c r="K28" s="1"/>
      <c r="L28" s="23">
        <v>14861</v>
      </c>
      <c r="M28" s="60">
        <f t="shared" si="5"/>
        <v>0.1978959984020241</v>
      </c>
      <c r="N28" s="24">
        <v>14132</v>
      </c>
      <c r="O28" s="54">
        <f t="shared" si="6"/>
        <v>0.20887095582258089</v>
      </c>
      <c r="P28" s="54">
        <f t="shared" si="7"/>
        <v>1.0974957420556791E-2</v>
      </c>
    </row>
    <row r="29" spans="2:18" ht="16">
      <c r="J29" s="21" t="s">
        <v>117</v>
      </c>
      <c r="K29" s="1"/>
      <c r="L29" s="30">
        <v>1365</v>
      </c>
      <c r="M29" s="60">
        <f t="shared" si="5"/>
        <v>1.8176975830614554E-2</v>
      </c>
      <c r="N29" s="24">
        <v>1451</v>
      </c>
      <c r="O29" s="54">
        <f t="shared" si="6"/>
        <v>2.1445779571084407E-2</v>
      </c>
      <c r="P29" s="54">
        <f t="shared" si="7"/>
        <v>3.2688037404698528E-3</v>
      </c>
    </row>
    <row r="30" spans="2:18" ht="16">
      <c r="J30" s="21" t="s">
        <v>118</v>
      </c>
      <c r="K30" s="1"/>
      <c r="L30" s="30">
        <v>480</v>
      </c>
      <c r="M30" s="60">
        <f t="shared" si="5"/>
        <v>6.3919035887875361E-3</v>
      </c>
      <c r="N30" s="31">
        <v>547</v>
      </c>
      <c r="O30" s="54">
        <f t="shared" si="6"/>
        <v>8.0846598383068034E-3</v>
      </c>
      <c r="P30" s="54">
        <f t="shared" si="7"/>
        <v>1.6927562495192673E-3</v>
      </c>
    </row>
    <row r="31" spans="2:18" ht="16">
      <c r="J31" s="21" t="s">
        <v>119</v>
      </c>
      <c r="K31" s="1"/>
      <c r="L31" s="30">
        <v>820</v>
      </c>
      <c r="M31" s="60">
        <f t="shared" si="5"/>
        <v>1.0919501964178707E-2</v>
      </c>
      <c r="N31" s="24">
        <v>1</v>
      </c>
      <c r="O31" s="54">
        <f t="shared" si="6"/>
        <v>1.4779999704400005E-5</v>
      </c>
      <c r="P31" s="54">
        <f t="shared" si="7"/>
        <v>-1.0904721964474307E-2</v>
      </c>
    </row>
    <row r="32" spans="2:18" ht="16">
      <c r="J32" s="8"/>
      <c r="K32" s="1"/>
      <c r="L32" s="43">
        <f>SUM(L27:L31)</f>
        <v>24778</v>
      </c>
      <c r="M32" s="60">
        <f t="shared" si="5"/>
        <v>0.32995538983953659</v>
      </c>
      <c r="N32" s="43">
        <f>SUM(N27:N31)</f>
        <v>20592</v>
      </c>
      <c r="O32" s="54">
        <f t="shared" si="6"/>
        <v>0.30434975391300489</v>
      </c>
      <c r="P32" s="61">
        <f t="shared" si="7"/>
        <v>-2.56056359265317E-2</v>
      </c>
      <c r="R32" s="66"/>
    </row>
    <row r="33" spans="10:18" ht="16">
      <c r="J33" s="18" t="s">
        <v>120</v>
      </c>
      <c r="K33" s="1"/>
      <c r="L33" s="19"/>
      <c r="M33" s="60">
        <f t="shared" si="5"/>
        <v>0</v>
      </c>
      <c r="N33" s="20"/>
      <c r="O33" s="54">
        <f t="shared" si="6"/>
        <v>0</v>
      </c>
      <c r="P33" s="19"/>
      <c r="R33" s="66"/>
    </row>
    <row r="34" spans="10:18" ht="16">
      <c r="J34" s="21" t="s">
        <v>115</v>
      </c>
      <c r="K34" s="1"/>
      <c r="L34" s="23">
        <v>22881</v>
      </c>
      <c r="M34" s="60">
        <f t="shared" si="5"/>
        <v>0.30469405419801587</v>
      </c>
      <c r="N34" s="24">
        <v>22844</v>
      </c>
      <c r="O34" s="54">
        <f t="shared" si="6"/>
        <v>0.33763431324731374</v>
      </c>
      <c r="P34" s="54">
        <f t="array" ref="P34:P41">O34:O41-M34:M41</f>
        <v>3.2940259049297871E-2</v>
      </c>
    </row>
    <row r="35" spans="10:18" ht="16">
      <c r="J35" s="21" t="s">
        <v>121</v>
      </c>
      <c r="K35" s="1"/>
      <c r="L35" s="30">
        <v>148</v>
      </c>
      <c r="M35" s="60">
        <f t="shared" si="5"/>
        <v>1.9708369398761571E-3</v>
      </c>
      <c r="N35" s="31">
        <v>149</v>
      </c>
      <c r="O35" s="54">
        <f t="shared" si="6"/>
        <v>2.2022199559556008E-3</v>
      </c>
      <c r="P35" s="54">
        <v>2.313830160794437E-4</v>
      </c>
    </row>
    <row r="36" spans="10:18" ht="32">
      <c r="J36" s="29" t="s">
        <v>122</v>
      </c>
      <c r="K36" s="1"/>
      <c r="L36" s="19"/>
      <c r="M36" s="60">
        <f t="shared" si="5"/>
        <v>0</v>
      </c>
      <c r="N36" s="20"/>
      <c r="O36" s="54">
        <f t="shared" si="6"/>
        <v>0</v>
      </c>
      <c r="P36" s="54">
        <v>0</v>
      </c>
    </row>
    <row r="37" spans="10:18" ht="16">
      <c r="J37" s="21" t="s">
        <v>123</v>
      </c>
      <c r="K37" s="1"/>
      <c r="L37" s="23">
        <v>831</v>
      </c>
      <c r="M37" s="60">
        <f t="shared" si="5"/>
        <v>1.1065983088088422E-2</v>
      </c>
      <c r="N37" s="24">
        <v>1109</v>
      </c>
      <c r="O37" s="54">
        <f t="shared" si="6"/>
        <v>1.6391019672179607E-2</v>
      </c>
      <c r="P37" s="54">
        <v>5.3250365840911851E-3</v>
      </c>
    </row>
    <row r="38" spans="10:18" ht="16">
      <c r="J38" s="21" t="s">
        <v>124</v>
      </c>
      <c r="K38" s="1"/>
      <c r="L38" s="23">
        <v>1295</v>
      </c>
      <c r="M38" s="60">
        <f t="shared" si="5"/>
        <v>1.7244823223916371E-2</v>
      </c>
      <c r="N38" s="24">
        <v>1326</v>
      </c>
      <c r="O38" s="54">
        <f t="shared" si="6"/>
        <v>1.9598279608034407E-2</v>
      </c>
      <c r="P38" s="54">
        <v>2.3534563841180363E-3</v>
      </c>
    </row>
    <row r="39" spans="10:18" ht="16">
      <c r="J39" s="21" t="s">
        <v>118</v>
      </c>
      <c r="K39" s="1"/>
      <c r="L39" s="23">
        <v>611</v>
      </c>
      <c r="M39" s="60">
        <f t="shared" si="5"/>
        <v>8.1363606098941339E-3</v>
      </c>
      <c r="N39" s="31">
        <v>583</v>
      </c>
      <c r="O39" s="54">
        <f t="shared" si="6"/>
        <v>8.6167398276652037E-3</v>
      </c>
      <c r="P39" s="54">
        <v>4.803792177710698E-4</v>
      </c>
    </row>
    <row r="40" spans="10:18" ht="16">
      <c r="J40" s="21" t="s">
        <v>125</v>
      </c>
      <c r="K40" s="1"/>
      <c r="L40" s="23">
        <v>4530</v>
      </c>
      <c r="M40" s="60">
        <f t="shared" si="5"/>
        <v>6.0323590119182369E-2</v>
      </c>
      <c r="N40" s="24">
        <v>3166</v>
      </c>
      <c r="O40" s="54">
        <f t="shared" si="6"/>
        <v>4.6793479064130422E-2</v>
      </c>
      <c r="P40" s="54">
        <v>-1.3530111055051947E-2</v>
      </c>
    </row>
    <row r="41" spans="10:18" ht="16">
      <c r="J41" s="21" t="s">
        <v>126</v>
      </c>
      <c r="K41" s="1"/>
      <c r="L41" s="30">
        <v>275</v>
      </c>
      <c r="M41" s="60">
        <f t="shared" si="5"/>
        <v>3.6620280977428588E-3</v>
      </c>
      <c r="N41" s="31">
        <v>235</v>
      </c>
      <c r="O41" s="54">
        <f t="shared" si="6"/>
        <v>3.4732999305340014E-3</v>
      </c>
      <c r="P41" s="54">
        <v>-1.8872816720885742E-4</v>
      </c>
    </row>
    <row r="42" spans="10:18" ht="16">
      <c r="J42" s="8"/>
      <c r="K42" s="1"/>
      <c r="L42" s="43">
        <f>SUM(L34:L41)</f>
        <v>30571</v>
      </c>
      <c r="M42" s="60">
        <f t="shared" si="5"/>
        <v>0.40709767627671617</v>
      </c>
      <c r="N42" s="44">
        <f>SUM(N34:N41)</f>
        <v>29412</v>
      </c>
      <c r="O42" s="54">
        <f t="shared" si="6"/>
        <v>0.43470935130581295</v>
      </c>
      <c r="P42" s="61">
        <f t="array" ref="P42:P43">O42:O43-M42:M43</f>
        <v>2.7611675029096783E-2</v>
      </c>
    </row>
    <row r="43" spans="10:18" ht="16">
      <c r="J43" s="18" t="s">
        <v>127</v>
      </c>
      <c r="K43" s="67"/>
      <c r="L43" s="33">
        <f>L42+L32</f>
        <v>55349</v>
      </c>
      <c r="M43" s="60">
        <f t="shared" si="5"/>
        <v>0.73705306611625276</v>
      </c>
      <c r="N43" s="34">
        <f>N42+N32</f>
        <v>50004</v>
      </c>
      <c r="O43" s="54">
        <f t="shared" si="6"/>
        <v>0.7390591052188179</v>
      </c>
      <c r="P43" s="61">
        <v>2.0060391025651381E-3</v>
      </c>
    </row>
    <row r="44" spans="10:18" ht="16">
      <c r="J44" s="18" t="s">
        <v>128</v>
      </c>
      <c r="K44" s="1"/>
      <c r="L44" s="19"/>
      <c r="M44" s="60">
        <f t="shared" si="5"/>
        <v>0</v>
      </c>
      <c r="N44" s="20"/>
      <c r="O44" s="54">
        <f t="shared" si="6"/>
        <v>0</v>
      </c>
      <c r="P44" s="19"/>
    </row>
    <row r="45" spans="10:18" ht="16">
      <c r="J45" s="21" t="s">
        <v>129</v>
      </c>
      <c r="K45" s="1"/>
      <c r="L45" s="30">
        <v>17107</v>
      </c>
      <c r="M45" s="60">
        <f t="shared" si="5"/>
        <v>0.22780478061122578</v>
      </c>
      <c r="N45" s="31">
        <v>15266</v>
      </c>
      <c r="O45" s="54">
        <f t="shared" si="6"/>
        <v>0.2256314754873705</v>
      </c>
      <c r="P45" s="54">
        <f t="array" ref="P45:P47">O45:O47-M45:M47</f>
        <v>-2.1733051238552736E-3</v>
      </c>
    </row>
    <row r="46" spans="10:18" ht="16">
      <c r="J46" s="21" t="s">
        <v>130</v>
      </c>
      <c r="K46" s="1"/>
      <c r="L46" s="30">
        <v>2639</v>
      </c>
      <c r="M46" s="60">
        <f t="shared" si="5"/>
        <v>3.5142153272521473E-2</v>
      </c>
      <c r="N46" s="31">
        <v>2389</v>
      </c>
      <c r="O46" s="54">
        <f t="shared" si="6"/>
        <v>3.5309419293811616E-2</v>
      </c>
      <c r="P46" s="54">
        <v>1.6726602129014251E-4</v>
      </c>
    </row>
    <row r="47" spans="10:18" ht="16">
      <c r="J47" s="18" t="s">
        <v>131</v>
      </c>
      <c r="K47" s="38"/>
      <c r="L47" s="17">
        <f>L45+L46</f>
        <v>19746</v>
      </c>
      <c r="M47" s="60">
        <f t="shared" si="5"/>
        <v>0.26294693388374724</v>
      </c>
      <c r="N47" s="17">
        <f>N45+N46</f>
        <v>17655</v>
      </c>
      <c r="O47" s="54">
        <f t="shared" si="6"/>
        <v>0.2609408947811821</v>
      </c>
      <c r="P47" s="61">
        <v>-2.0060391025651381E-3</v>
      </c>
    </row>
    <row r="48" spans="10:18" ht="16">
      <c r="J48" s="46" t="s">
        <v>132</v>
      </c>
      <c r="K48" s="47"/>
      <c r="L48" s="48">
        <f>L47+L43</f>
        <v>75095</v>
      </c>
      <c r="M48" s="68">
        <v>1</v>
      </c>
      <c r="N48" s="48">
        <f>N47+N43</f>
        <v>67659</v>
      </c>
      <c r="O48" s="65">
        <f>N48/N48</f>
        <v>1</v>
      </c>
      <c r="P48" s="69">
        <f>O48/M48</f>
        <v>1</v>
      </c>
    </row>
    <row r="49" ht="15.5"/>
    <row r="50" ht="15.5"/>
    <row r="51" ht="15.5"/>
    <row r="52" ht="15.5"/>
  </sheetData>
  <mergeCells count="3">
    <mergeCell ref="B1:P1"/>
    <mergeCell ref="B2:G2"/>
    <mergeCell ref="J2:P2"/>
  </mergeCells>
  <pageMargins left="0.25" right="0.25" top="0.4" bottom="0.4" header="0.511811023622047" footer="0.2"/>
  <pageSetup paperSize="9" scale="46" fitToHeight="0" orientation="landscape" horizontalDpi="300" verticalDpi="300" r:id="rId1"/>
  <headerFooter>
    <oddFooter>&amp;CUnilever Group Financial Analysis | Portfolio Project&amp;RPage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L77"/>
  <sheetViews>
    <sheetView showGridLines="0" zoomScale="40" zoomScaleNormal="63" workbookViewId="0">
      <selection sqref="A1:I45"/>
    </sheetView>
  </sheetViews>
  <sheetFormatPr defaultColWidth="8.6640625" defaultRowHeight="15" customHeight="1"/>
  <cols>
    <col min="1" max="2" width="8.6640625" style="70"/>
    <col min="3" max="3" width="8.83203125" style="70" customWidth="1"/>
    <col min="4" max="4" width="12.75" style="70" customWidth="1"/>
    <col min="5" max="6" width="8.6640625" style="70"/>
    <col min="7" max="7" width="11.5" style="70" customWidth="1"/>
    <col min="8" max="8" width="10.4140625" style="70" customWidth="1"/>
    <col min="9" max="9" width="9.4140625" style="70" customWidth="1"/>
    <col min="10" max="10" width="10.4140625" style="70" customWidth="1"/>
    <col min="11" max="11" width="8.6640625" style="70"/>
    <col min="12" max="12" width="14.1640625" style="70" customWidth="1"/>
    <col min="13" max="14" width="8.6640625" style="70"/>
    <col min="15" max="15" width="8.83203125" style="70" customWidth="1"/>
    <col min="16" max="20" width="8.6640625" style="70"/>
    <col min="21" max="21" width="9.9140625" style="70" customWidth="1"/>
    <col min="22" max="22" width="11.58203125" style="70" customWidth="1"/>
    <col min="23" max="23" width="13.25" style="70" customWidth="1"/>
    <col min="24" max="24" width="15.25" style="70" customWidth="1"/>
    <col min="25" max="25" width="8.6640625" style="70"/>
    <col min="26" max="26" width="8.83203125" style="70" customWidth="1"/>
    <col min="27" max="29" width="8.6640625" style="70"/>
    <col min="30" max="30" width="8.75" style="70" customWidth="1"/>
    <col min="31" max="31" width="10.1640625" style="70" customWidth="1"/>
    <col min="32" max="32" width="8.6640625" style="70"/>
    <col min="33" max="33" width="10.25" style="70" customWidth="1"/>
    <col min="34" max="34" width="8.6640625" style="70"/>
    <col min="35" max="35" width="13.75" style="70" customWidth="1"/>
    <col min="36" max="43" width="8.6640625" style="70"/>
    <col min="44" max="44" width="12.08203125" style="70" customWidth="1"/>
    <col min="45" max="45" width="13" style="70" customWidth="1"/>
    <col min="46" max="46" width="8.6640625" style="70"/>
    <col min="47" max="47" width="13.25" style="70" customWidth="1"/>
    <col min="48" max="48" width="9.1640625" style="70" customWidth="1"/>
    <col min="49" max="49" width="8.6640625" style="70"/>
    <col min="50" max="50" width="16.5" style="70" customWidth="1"/>
    <col min="51" max="52" width="8.6640625" style="70"/>
    <col min="53" max="53" width="8.83203125" style="70" customWidth="1"/>
    <col min="54" max="57" width="9.9140625" style="70" customWidth="1"/>
    <col min="58" max="58" width="9.4140625" style="70" customWidth="1"/>
    <col min="59" max="63" width="8.6640625" style="70"/>
    <col min="64" max="64" width="13" style="70" customWidth="1"/>
    <col min="65" max="65" width="12" style="70" customWidth="1"/>
    <col min="66" max="66" width="13" style="70" customWidth="1"/>
    <col min="67" max="67" width="8.6640625" style="70"/>
    <col min="68" max="68" width="12.1640625" style="70" customWidth="1"/>
    <col min="69" max="69" width="9.9140625" style="70" customWidth="1"/>
    <col min="70" max="83" width="8.6640625" style="70"/>
    <col min="84" max="84" width="13.5" style="70" customWidth="1"/>
    <col min="85" max="85" width="8.6640625" style="70"/>
    <col min="86" max="86" width="13.1640625" style="70" customWidth="1"/>
    <col min="87" max="87" width="8.75" style="70" customWidth="1"/>
    <col min="88" max="94" width="8.6640625" style="70"/>
    <col min="95" max="97" width="8.75" style="70" customWidth="1"/>
    <col min="98" max="98" width="9.1640625" style="70" customWidth="1"/>
    <col min="99" max="99" width="10.25" style="70" customWidth="1"/>
    <col min="100" max="16384" width="8.6640625" style="70"/>
  </cols>
  <sheetData>
    <row r="1" spans="3:68" ht="15" customHeight="1">
      <c r="D1" s="321" t="s">
        <v>145</v>
      </c>
      <c r="E1" s="321"/>
      <c r="F1" s="321"/>
      <c r="G1" s="321"/>
      <c r="H1" s="321"/>
      <c r="I1" s="321"/>
      <c r="J1" s="321"/>
      <c r="K1" s="321"/>
      <c r="L1" s="321"/>
      <c r="M1" s="321"/>
      <c r="N1" s="321"/>
      <c r="O1" s="321"/>
      <c r="P1" s="321"/>
      <c r="Q1" s="321"/>
      <c r="R1" s="321"/>
      <c r="S1" s="321"/>
      <c r="T1" s="321"/>
      <c r="U1" s="321"/>
      <c r="V1" s="321"/>
      <c r="W1" s="321"/>
      <c r="X1" s="321"/>
      <c r="Y1" s="321"/>
      <c r="Z1" s="321"/>
      <c r="AA1" s="321"/>
      <c r="AB1" s="321"/>
      <c r="AC1" s="321"/>
      <c r="AD1" s="321"/>
      <c r="AE1" s="321"/>
      <c r="AF1" s="321"/>
      <c r="AG1" s="321"/>
      <c r="AH1" s="321"/>
      <c r="AI1" s="321"/>
      <c r="AJ1" s="321"/>
      <c r="AK1" s="321"/>
      <c r="AL1" s="321"/>
      <c r="AM1" s="321"/>
      <c r="AN1" s="321"/>
      <c r="AO1" s="321"/>
      <c r="AP1" s="321"/>
      <c r="AQ1" s="321"/>
      <c r="AR1" s="321"/>
      <c r="AS1" s="321"/>
      <c r="AT1" s="321"/>
      <c r="AU1" s="321"/>
      <c r="AV1" s="321"/>
      <c r="AW1" s="321"/>
      <c r="AX1" s="321"/>
    </row>
    <row r="2" spans="3:68" ht="15.5">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1"/>
      <c r="AV2" s="321"/>
      <c r="AW2" s="321"/>
      <c r="AX2" s="321"/>
    </row>
    <row r="3" spans="3:68" ht="15.5">
      <c r="AJ3" s="71"/>
    </row>
    <row r="4" spans="3:68" ht="33" customHeight="1">
      <c r="AJ4" s="71"/>
      <c r="AL4" s="72">
        <v>4</v>
      </c>
      <c r="AM4" s="73" t="s">
        <v>141</v>
      </c>
    </row>
    <row r="5" spans="3:68" ht="25.5" customHeight="1">
      <c r="AJ5" s="71"/>
      <c r="AM5" s="74" t="s">
        <v>142</v>
      </c>
      <c r="AN5" s="75"/>
      <c r="AO5" s="75"/>
      <c r="AP5" s="75"/>
      <c r="AQ5" s="76"/>
      <c r="AR5" s="76"/>
      <c r="AS5" s="77" t="s">
        <v>143</v>
      </c>
      <c r="AT5" s="76"/>
      <c r="AU5" s="78"/>
      <c r="BH5" s="74" t="s">
        <v>144</v>
      </c>
      <c r="BI5" s="75"/>
      <c r="BJ5" s="75"/>
      <c r="BK5" s="75"/>
      <c r="BL5" s="79"/>
      <c r="BM5" s="76"/>
      <c r="BN5" s="77" t="s">
        <v>143</v>
      </c>
      <c r="BO5" s="76"/>
      <c r="BP5" s="78"/>
    </row>
    <row r="6" spans="3:68" ht="31.5" customHeight="1">
      <c r="D6" s="229"/>
      <c r="E6" s="230"/>
      <c r="F6" s="230"/>
      <c r="G6" s="230"/>
      <c r="H6" s="230"/>
      <c r="AJ6" s="71"/>
      <c r="AM6" s="80"/>
      <c r="AN6" s="81"/>
      <c r="AO6" s="81"/>
      <c r="AP6" s="81"/>
      <c r="AQ6" s="81"/>
      <c r="AR6" s="81"/>
      <c r="AS6" s="82">
        <v>2021</v>
      </c>
      <c r="AT6" s="81"/>
      <c r="AU6" s="83">
        <v>2020</v>
      </c>
      <c r="BH6" s="80"/>
      <c r="BI6" s="81"/>
      <c r="BJ6" s="81"/>
      <c r="BK6" s="81"/>
      <c r="BL6" s="81"/>
      <c r="BM6" s="81"/>
      <c r="BN6" s="82">
        <v>2021</v>
      </c>
      <c r="BO6" s="81"/>
      <c r="BP6" s="83">
        <v>2020</v>
      </c>
    </row>
    <row r="7" spans="3:68" ht="21" customHeight="1">
      <c r="AJ7" s="71"/>
      <c r="AM7" s="84"/>
      <c r="AN7" s="85"/>
      <c r="AO7" s="85"/>
      <c r="AP7" s="85"/>
      <c r="AQ7" s="85"/>
      <c r="AR7" s="85"/>
      <c r="AS7" s="86"/>
      <c r="AT7" s="85"/>
      <c r="AU7" s="87"/>
      <c r="AW7" s="152" t="s">
        <v>146</v>
      </c>
      <c r="AX7" t="s">
        <v>257</v>
      </c>
      <c r="BD7" s="315" t="s">
        <v>147</v>
      </c>
      <c r="BH7" s="84"/>
      <c r="BI7" s="85"/>
      <c r="BJ7" s="85"/>
      <c r="BK7" s="85"/>
      <c r="BL7" s="85"/>
      <c r="BM7" s="85"/>
      <c r="BN7" s="86"/>
      <c r="BO7" s="85"/>
      <c r="BP7" s="87"/>
    </row>
    <row r="8" spans="3:68" ht="19.5" customHeight="1">
      <c r="D8" s="88"/>
      <c r="AJ8" s="71"/>
      <c r="AM8" s="89" t="s">
        <v>148</v>
      </c>
      <c r="AN8" s="85"/>
      <c r="AO8" s="85"/>
      <c r="AP8" s="85"/>
      <c r="AQ8" s="85"/>
      <c r="AR8" s="85"/>
      <c r="AS8" s="90">
        <f>'Common Size Financial Statement'!L24</f>
        <v>75095</v>
      </c>
      <c r="AT8" s="85"/>
      <c r="AU8" s="91">
        <f>'Common Size Financial Statement'!N24</f>
        <v>67659</v>
      </c>
      <c r="BB8" s="231">
        <v>2</v>
      </c>
      <c r="BD8" s="315"/>
      <c r="BE8" s="70" t="s">
        <v>149</v>
      </c>
      <c r="BH8" s="84"/>
      <c r="BI8" s="85"/>
      <c r="BJ8" s="85"/>
      <c r="BK8" s="85"/>
      <c r="BL8" s="85"/>
      <c r="BM8" s="85"/>
      <c r="BN8" s="93"/>
      <c r="BO8" s="85"/>
      <c r="BP8" s="94"/>
    </row>
    <row r="9" spans="3:68" ht="21" customHeight="1">
      <c r="Q9" s="95"/>
      <c r="R9" s="95"/>
      <c r="S9" s="95"/>
      <c r="T9" s="95"/>
      <c r="U9" s="95"/>
      <c r="AJ9" s="71"/>
      <c r="AM9" s="96" t="s">
        <v>111</v>
      </c>
      <c r="AN9" s="97"/>
      <c r="AO9" s="85"/>
      <c r="AP9" s="85"/>
      <c r="AQ9" s="85"/>
      <c r="AR9" s="85"/>
      <c r="AS9" s="90">
        <f>'Common Size Financial Statement'!C20</f>
        <v>6621</v>
      </c>
      <c r="AT9" s="85"/>
      <c r="AU9" s="91">
        <f>'Common Size Financial Statement'!E20</f>
        <v>6073</v>
      </c>
      <c r="AW9" s="70" t="s">
        <v>150</v>
      </c>
      <c r="AX9" t="s">
        <v>258</v>
      </c>
      <c r="BD9" s="315"/>
      <c r="BH9" s="98" t="s">
        <v>151</v>
      </c>
      <c r="BI9" s="97"/>
      <c r="BJ9" s="85"/>
      <c r="BK9" s="85"/>
      <c r="BL9" s="85"/>
      <c r="BM9" s="85"/>
      <c r="BN9" s="99">
        <f>'Common Size Financial Statement'!C13</f>
        <v>8702</v>
      </c>
      <c r="BO9" s="85"/>
      <c r="BP9" s="100">
        <f>'Common Size Financial Statement'!E13</f>
        <v>8303</v>
      </c>
    </row>
    <row r="10" spans="3:68" ht="30.75" customHeight="1">
      <c r="C10" s="101">
        <v>1</v>
      </c>
      <c r="D10" s="102" t="s">
        <v>152</v>
      </c>
      <c r="AJ10" s="71"/>
      <c r="AM10" s="96" t="s">
        <v>153</v>
      </c>
      <c r="AN10" s="103"/>
      <c r="AO10" s="85"/>
      <c r="AP10" s="85"/>
      <c r="AQ10" s="85"/>
      <c r="AR10" s="85"/>
      <c r="AS10" s="104">
        <f>142754/2</f>
        <v>71377</v>
      </c>
      <c r="AT10" s="85"/>
      <c r="AU10" s="105">
        <v>66233</v>
      </c>
      <c r="BA10" s="92">
        <v>2</v>
      </c>
      <c r="BH10" s="106" t="s">
        <v>154</v>
      </c>
      <c r="BI10" s="103"/>
      <c r="BJ10" s="85"/>
      <c r="BK10" s="85"/>
      <c r="BL10" s="85"/>
      <c r="BM10" s="85"/>
      <c r="BN10" s="99">
        <f>'Common Size Financial Statement'!L24-'Common Size Financial Statement'!L32</f>
        <v>50317</v>
      </c>
      <c r="BO10" s="85"/>
      <c r="BP10" s="100">
        <f>'Common Size Financial Statement'!N24-'Common Size Financial Statement'!N32</f>
        <v>47067</v>
      </c>
    </row>
    <row r="11" spans="3:68" ht="33" customHeight="1">
      <c r="C11" s="107"/>
      <c r="D11" s="108" t="s">
        <v>155</v>
      </c>
      <c r="E11" s="75"/>
      <c r="F11" s="75"/>
      <c r="G11" s="75"/>
      <c r="H11" s="76"/>
      <c r="I11" s="76"/>
      <c r="J11" s="77" t="s">
        <v>143</v>
      </c>
      <c r="K11" s="76"/>
      <c r="L11" s="78"/>
      <c r="O11" s="107"/>
      <c r="P11" s="74" t="s">
        <v>156</v>
      </c>
      <c r="Q11" s="75"/>
      <c r="R11" s="75"/>
      <c r="S11" s="76"/>
      <c r="T11" s="76"/>
      <c r="U11" s="76"/>
      <c r="V11" s="77" t="s">
        <v>143</v>
      </c>
      <c r="W11" s="76"/>
      <c r="X11" s="78"/>
      <c r="Z11" s="107"/>
      <c r="AA11" s="74" t="s">
        <v>157</v>
      </c>
      <c r="AB11" s="75"/>
      <c r="AC11" s="75"/>
      <c r="AD11" s="76"/>
      <c r="AE11" s="76"/>
      <c r="AF11" s="76"/>
      <c r="AG11" s="77" t="s">
        <v>143</v>
      </c>
      <c r="AH11" s="76"/>
      <c r="AI11" s="78"/>
      <c r="AJ11" s="71"/>
      <c r="AM11" s="84"/>
      <c r="AN11" s="85"/>
      <c r="AO11" s="85"/>
      <c r="AP11" s="85"/>
      <c r="AQ11" s="85"/>
      <c r="AR11" s="85"/>
      <c r="AS11" s="85"/>
      <c r="AT11" s="85"/>
      <c r="AU11" s="94"/>
      <c r="BH11" s="84"/>
      <c r="BI11" s="85"/>
      <c r="BJ11" s="85"/>
      <c r="BK11" s="85"/>
      <c r="BL11" s="85"/>
      <c r="BM11" s="85"/>
      <c r="BN11" s="85"/>
      <c r="BO11" s="85"/>
      <c r="BP11" s="94"/>
    </row>
    <row r="12" spans="3:68" ht="21" customHeight="1">
      <c r="D12" s="84"/>
      <c r="E12" s="85"/>
      <c r="F12" s="85"/>
      <c r="G12" s="85"/>
      <c r="H12" s="85"/>
      <c r="I12" s="85"/>
      <c r="J12" s="85"/>
      <c r="K12" s="85"/>
      <c r="L12" s="94"/>
      <c r="P12" s="84"/>
      <c r="Q12" s="85"/>
      <c r="R12" s="85"/>
      <c r="S12" s="85"/>
      <c r="T12" s="85"/>
      <c r="U12" s="85"/>
      <c r="V12" s="85"/>
      <c r="W12" s="85"/>
      <c r="X12" s="94"/>
      <c r="AA12" s="109" t="s">
        <v>158</v>
      </c>
      <c r="AB12" s="85"/>
      <c r="AC12" s="85"/>
      <c r="AD12" s="85"/>
      <c r="AE12" s="85"/>
      <c r="AF12" s="85"/>
      <c r="AG12" s="85"/>
      <c r="AH12" s="85"/>
      <c r="AI12" s="94"/>
      <c r="AJ12" s="71"/>
      <c r="AM12" s="110"/>
      <c r="AN12" s="110"/>
      <c r="AO12" s="316" t="s">
        <v>159</v>
      </c>
      <c r="AP12" s="316"/>
      <c r="AQ12" s="316"/>
      <c r="AR12" s="316"/>
      <c r="AS12" s="111">
        <f>AS9/AS10</f>
        <v>9.2760973422811269E-2</v>
      </c>
      <c r="AT12" s="110"/>
      <c r="AU12" s="111">
        <f>AU9/AU10</f>
        <v>9.1691452901121795E-2</v>
      </c>
      <c r="BH12" s="110"/>
      <c r="BI12" s="110"/>
      <c r="BJ12" s="316" t="s">
        <v>160</v>
      </c>
      <c r="BK12" s="316"/>
      <c r="BL12" s="316"/>
      <c r="BM12" s="316"/>
      <c r="BN12" s="112">
        <f>BN9/BN10</f>
        <v>0.17294353796927481</v>
      </c>
      <c r="BO12" s="110"/>
      <c r="BP12" s="111">
        <f>BP9/BP10</f>
        <v>0.17640809909278263</v>
      </c>
    </row>
    <row r="13" spans="3:68" ht="21" customHeight="1">
      <c r="D13" s="80"/>
      <c r="E13" s="81"/>
      <c r="F13" s="81"/>
      <c r="G13" s="81"/>
      <c r="H13" s="81"/>
      <c r="I13" s="81"/>
      <c r="J13" s="82">
        <v>2021</v>
      </c>
      <c r="K13" s="81"/>
      <c r="L13" s="83">
        <v>2020</v>
      </c>
      <c r="P13" s="113"/>
      <c r="Q13" s="81"/>
      <c r="R13" s="81"/>
      <c r="S13" s="81"/>
      <c r="T13" s="81"/>
      <c r="U13" s="81"/>
      <c r="V13" s="82">
        <v>2021</v>
      </c>
      <c r="W13" s="81"/>
      <c r="X13" s="83">
        <v>2020</v>
      </c>
      <c r="AA13" s="113"/>
      <c r="AB13" s="81"/>
      <c r="AC13" s="81"/>
      <c r="AD13" s="81"/>
      <c r="AE13" s="81"/>
      <c r="AF13" s="81"/>
      <c r="AG13" s="82">
        <v>2021</v>
      </c>
      <c r="AH13" s="81"/>
      <c r="AI13" s="83">
        <v>2020</v>
      </c>
      <c r="AJ13" s="71"/>
      <c r="AV13" s="85"/>
    </row>
    <row r="14" spans="3:68" ht="21" customHeight="1">
      <c r="D14" s="84"/>
      <c r="E14" s="85"/>
      <c r="F14" s="85"/>
      <c r="G14" s="85"/>
      <c r="H14" s="85"/>
      <c r="I14" s="85"/>
      <c r="J14" s="85"/>
      <c r="K14" s="85"/>
      <c r="L14" s="94"/>
      <c r="P14" s="84"/>
      <c r="Q14" s="85"/>
      <c r="R14" s="85"/>
      <c r="S14" s="85"/>
      <c r="T14" s="85"/>
      <c r="U14" s="85"/>
      <c r="V14" s="85"/>
      <c r="W14" s="85"/>
      <c r="X14" s="94"/>
      <c r="AA14" s="84"/>
      <c r="AB14" s="85"/>
      <c r="AC14" s="85"/>
      <c r="AD14" s="85"/>
      <c r="AE14" s="85"/>
      <c r="AF14" s="85"/>
      <c r="AG14" s="85"/>
      <c r="AH14" s="85"/>
      <c r="AI14" s="94"/>
      <c r="AJ14" s="71"/>
    </row>
    <row r="15" spans="3:68" ht="21" customHeight="1">
      <c r="D15" s="114" t="s">
        <v>161</v>
      </c>
      <c r="E15" s="81"/>
      <c r="F15" s="85"/>
      <c r="G15" s="85"/>
      <c r="H15" s="85"/>
      <c r="I15" s="85"/>
      <c r="J15" s="90">
        <f>'Common Size Financial Statement'!C7</f>
        <v>22185</v>
      </c>
      <c r="K15" s="85"/>
      <c r="L15" s="91">
        <f>'Common Size Financial Statement'!E7</f>
        <v>22040</v>
      </c>
      <c r="P15" s="114" t="s">
        <v>162</v>
      </c>
      <c r="Q15" s="81"/>
      <c r="R15" s="85"/>
      <c r="S15" s="85"/>
      <c r="T15" s="85"/>
      <c r="U15" s="85"/>
      <c r="V15" s="115">
        <f>'Common Size Financial Statement'!C13</f>
        <v>8702</v>
      </c>
      <c r="W15" s="116"/>
      <c r="X15" s="117">
        <f>'Common Size Financial Statement'!E13</f>
        <v>8303</v>
      </c>
      <c r="AA15" s="114" t="s">
        <v>111</v>
      </c>
      <c r="AB15" s="81"/>
      <c r="AC15" s="85"/>
      <c r="AD15" s="85"/>
      <c r="AE15" s="85"/>
      <c r="AF15" s="85"/>
      <c r="AG15" s="90">
        <f>'Common Size Financial Statement'!C20</f>
        <v>6621</v>
      </c>
      <c r="AH15" s="85"/>
      <c r="AI15" s="117">
        <f>'Common Size Financial Statement'!E20</f>
        <v>6073</v>
      </c>
      <c r="AJ15" s="71"/>
    </row>
    <row r="16" spans="3:68" ht="21" customHeight="1">
      <c r="D16" s="98" t="s">
        <v>82</v>
      </c>
      <c r="E16" s="85"/>
      <c r="F16" s="85"/>
      <c r="G16" s="85"/>
      <c r="H16" s="85"/>
      <c r="I16" s="85"/>
      <c r="J16" s="90">
        <f>'Common Size Financial Statement'!C5</f>
        <v>52444</v>
      </c>
      <c r="K16" s="85"/>
      <c r="L16" s="91">
        <f>'Common Size Financial Statement'!E5</f>
        <v>50724</v>
      </c>
      <c r="P16" s="98" t="s">
        <v>82</v>
      </c>
      <c r="Q16" s="85"/>
      <c r="R16" s="85"/>
      <c r="S16" s="85"/>
      <c r="T16" s="85"/>
      <c r="U16" s="85"/>
      <c r="V16" s="115">
        <f>'Common Size Financial Statement'!C5</f>
        <v>52444</v>
      </c>
      <c r="W16" s="116"/>
      <c r="X16" s="117">
        <f>'Common Size Financial Statement'!E5</f>
        <v>50724</v>
      </c>
      <c r="AA16" s="98" t="s">
        <v>82</v>
      </c>
      <c r="AB16" s="85"/>
      <c r="AC16" s="85"/>
      <c r="AD16" s="85"/>
      <c r="AE16" s="85"/>
      <c r="AF16" s="85"/>
      <c r="AG16" s="104">
        <f>V16</f>
        <v>52444</v>
      </c>
      <c r="AH16" s="85"/>
      <c r="AI16" s="105">
        <f>X16</f>
        <v>50724</v>
      </c>
      <c r="AJ16" s="71"/>
    </row>
    <row r="17" spans="1:88" ht="21" customHeight="1">
      <c r="D17" s="84"/>
      <c r="E17" s="85"/>
      <c r="F17" s="85"/>
      <c r="G17" s="85"/>
      <c r="H17" s="85"/>
      <c r="I17" s="85"/>
      <c r="J17" s="85"/>
      <c r="K17" s="85"/>
      <c r="L17" s="94"/>
      <c r="P17" s="84"/>
      <c r="Q17" s="85"/>
      <c r="R17" s="85"/>
      <c r="S17" s="85"/>
      <c r="T17" s="85"/>
      <c r="U17" s="85"/>
      <c r="V17" s="85"/>
      <c r="W17" s="85"/>
      <c r="X17" s="94"/>
      <c r="AA17" s="84"/>
      <c r="AB17" s="85"/>
      <c r="AC17" s="85"/>
      <c r="AD17" s="85"/>
      <c r="AE17" s="85"/>
      <c r="AF17" s="85"/>
      <c r="AG17" s="85"/>
      <c r="AH17" s="85"/>
      <c r="AI17" s="94"/>
      <c r="AJ17" s="71"/>
      <c r="AM17" s="74" t="s">
        <v>163</v>
      </c>
      <c r="AN17" s="75"/>
      <c r="AO17" s="75"/>
      <c r="AP17" s="75"/>
      <c r="AQ17" s="76"/>
      <c r="AR17" s="76"/>
      <c r="AS17" s="77" t="s">
        <v>143</v>
      </c>
      <c r="AT17" s="76"/>
      <c r="AU17" s="76"/>
      <c r="AV17" s="118"/>
    </row>
    <row r="18" spans="1:88" ht="21" customHeight="1">
      <c r="D18" s="119" t="s">
        <v>164</v>
      </c>
      <c r="E18" s="110"/>
      <c r="F18" s="110"/>
      <c r="G18" s="119" t="s">
        <v>165</v>
      </c>
      <c r="H18" s="110"/>
      <c r="I18" s="110"/>
      <c r="J18" s="120">
        <f>J15/J16</f>
        <v>0.42302265273434519</v>
      </c>
      <c r="K18" s="110"/>
      <c r="L18" s="121">
        <f>L15/L16</f>
        <v>0.43450831953315983</v>
      </c>
      <c r="P18" s="119" t="s">
        <v>166</v>
      </c>
      <c r="Q18" s="110"/>
      <c r="R18" s="110"/>
      <c r="S18" s="119" t="s">
        <v>167</v>
      </c>
      <c r="T18" s="110"/>
      <c r="U18" s="110"/>
      <c r="V18" s="122">
        <f>V15/V16</f>
        <v>0.16592937228281596</v>
      </c>
      <c r="W18" s="110"/>
      <c r="X18" s="123">
        <f>X15/X16</f>
        <v>0.16368977209999211</v>
      </c>
      <c r="AA18" s="119" t="s">
        <v>168</v>
      </c>
      <c r="AB18" s="110"/>
      <c r="AC18" s="110"/>
      <c r="AD18" s="119" t="s">
        <v>169</v>
      </c>
      <c r="AE18" s="110"/>
      <c r="AF18" s="110"/>
      <c r="AG18" s="122">
        <f>AG15/AG16</f>
        <v>0.12624895126229882</v>
      </c>
      <c r="AH18" s="110"/>
      <c r="AI18" s="123">
        <f>AI15/AI16</f>
        <v>0.1197263622742686</v>
      </c>
      <c r="AJ18" s="71"/>
      <c r="AM18" s="80"/>
      <c r="AN18" s="81"/>
      <c r="AO18" s="81"/>
      <c r="AP18" s="81"/>
      <c r="AQ18" s="81"/>
      <c r="AR18" s="81"/>
      <c r="AS18" s="82">
        <v>2021</v>
      </c>
      <c r="AT18" s="81"/>
      <c r="AU18" s="82">
        <v>2020</v>
      </c>
      <c r="AV18" s="84"/>
    </row>
    <row r="19" spans="1:88" ht="21" customHeight="1">
      <c r="AJ19" s="71"/>
      <c r="AM19" s="84"/>
      <c r="AN19" s="85"/>
      <c r="AO19" s="85"/>
      <c r="AP19" s="85"/>
      <c r="AQ19" s="85"/>
      <c r="AR19" s="85"/>
      <c r="AS19" s="86"/>
      <c r="AT19" s="85"/>
      <c r="AU19" s="86"/>
      <c r="AV19" s="118"/>
    </row>
    <row r="20" spans="1:88" ht="21" customHeight="1">
      <c r="AJ20" s="71"/>
      <c r="AM20" s="89" t="s">
        <v>128</v>
      </c>
      <c r="AN20" s="85"/>
      <c r="AO20" s="85"/>
      <c r="AP20" s="85"/>
      <c r="AQ20" s="85"/>
      <c r="AR20" s="85"/>
      <c r="AS20" s="124">
        <v>19746</v>
      </c>
      <c r="AT20" s="85"/>
      <c r="AU20" s="125">
        <v>17655</v>
      </c>
      <c r="AV20" s="84"/>
      <c r="AW20" s="152" t="s">
        <v>146</v>
      </c>
      <c r="AX20" t="s">
        <v>259</v>
      </c>
      <c r="BD20" s="315" t="s">
        <v>147</v>
      </c>
    </row>
    <row r="21" spans="1:88" ht="21" customHeight="1">
      <c r="A21" s="126"/>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7"/>
      <c r="AM21" s="98" t="s">
        <v>111</v>
      </c>
      <c r="AN21" s="97"/>
      <c r="AO21" s="85"/>
      <c r="AP21" s="85"/>
      <c r="AQ21" s="85"/>
      <c r="AR21" s="85"/>
      <c r="AS21" s="128">
        <v>6621</v>
      </c>
      <c r="AT21" s="85"/>
      <c r="AU21" s="128">
        <v>6073</v>
      </c>
      <c r="AV21" s="118"/>
      <c r="BB21" s="231">
        <v>2</v>
      </c>
      <c r="BD21" s="315"/>
      <c r="BE21" s="70" t="s">
        <v>170</v>
      </c>
      <c r="CJ21" s="85"/>
    </row>
    <row r="22" spans="1:88" ht="21" customHeight="1">
      <c r="AJ22" s="71"/>
      <c r="AM22" s="96" t="s">
        <v>171</v>
      </c>
      <c r="AN22" s="103"/>
      <c r="AO22" s="85"/>
      <c r="AP22" s="85"/>
      <c r="AQ22" s="85"/>
      <c r="AR22" s="85"/>
      <c r="AS22" s="128">
        <v>18701</v>
      </c>
      <c r="AT22" s="85"/>
      <c r="AU22" s="128">
        <v>15771</v>
      </c>
      <c r="AV22" s="118"/>
      <c r="AW22" s="70" t="s">
        <v>150</v>
      </c>
      <c r="AX22" t="s">
        <v>260</v>
      </c>
      <c r="BD22" s="315"/>
    </row>
    <row r="23" spans="1:88" ht="33" customHeight="1">
      <c r="C23" s="101">
        <v>2</v>
      </c>
      <c r="D23" s="129" t="s">
        <v>172</v>
      </c>
      <c r="AJ23" s="71"/>
      <c r="AM23" s="84"/>
      <c r="AN23" s="85"/>
      <c r="AO23" s="85"/>
      <c r="AP23" s="85"/>
      <c r="AQ23" s="85"/>
      <c r="AR23" s="85"/>
      <c r="AS23" s="85"/>
      <c r="AT23" s="85"/>
      <c r="AU23" s="85"/>
      <c r="AV23" s="118"/>
      <c r="BB23" s="231">
        <v>2</v>
      </c>
      <c r="CJ23" s="85"/>
    </row>
    <row r="24" spans="1:88" ht="25.5" customHeight="1">
      <c r="D24" s="130" t="s">
        <v>173</v>
      </c>
      <c r="E24" s="75"/>
      <c r="F24" s="75"/>
      <c r="G24" s="75"/>
      <c r="H24" s="75"/>
      <c r="I24" s="76"/>
      <c r="J24" s="77" t="s">
        <v>143</v>
      </c>
      <c r="K24" s="76"/>
      <c r="L24" s="78"/>
      <c r="P24" s="74" t="s">
        <v>174</v>
      </c>
      <c r="Q24" s="75"/>
      <c r="R24" s="75"/>
      <c r="S24" s="75"/>
      <c r="T24" s="75"/>
      <c r="U24" s="76"/>
      <c r="V24" s="77" t="s">
        <v>143</v>
      </c>
      <c r="W24" s="76"/>
      <c r="X24" s="78"/>
      <c r="AA24" s="74" t="s">
        <v>175</v>
      </c>
      <c r="AB24" s="75"/>
      <c r="AC24" s="75"/>
      <c r="AD24" s="75"/>
      <c r="AE24" s="76"/>
      <c r="AF24" s="76"/>
      <c r="AG24" s="77" t="s">
        <v>143</v>
      </c>
      <c r="AH24" s="76"/>
      <c r="AI24" s="78"/>
      <c r="AJ24" s="71"/>
      <c r="AM24" s="110"/>
      <c r="AN24" s="110"/>
      <c r="AO24" s="316" t="s">
        <v>176</v>
      </c>
      <c r="AP24" s="316"/>
      <c r="AQ24" s="316"/>
      <c r="AR24" s="316"/>
      <c r="AS24" s="112">
        <f>AS21/AS22</f>
        <v>0.35404523822255496</v>
      </c>
      <c r="AT24" s="110"/>
      <c r="AU24" s="131">
        <f>AU21/AU22</f>
        <v>0.38507386976095365</v>
      </c>
      <c r="AV24" s="118"/>
      <c r="CJ24" s="85"/>
    </row>
    <row r="25" spans="1:88" ht="21" customHeight="1">
      <c r="D25" s="80"/>
      <c r="E25" s="81"/>
      <c r="F25" s="81"/>
      <c r="G25" s="81"/>
      <c r="H25" s="81"/>
      <c r="I25" s="81"/>
      <c r="J25" s="82">
        <v>2021</v>
      </c>
      <c r="K25" s="81"/>
      <c r="L25" s="83">
        <v>2020</v>
      </c>
      <c r="P25" s="132" t="s">
        <v>177</v>
      </c>
      <c r="Q25" s="81"/>
      <c r="R25" s="81"/>
      <c r="S25" s="81"/>
      <c r="T25" s="81"/>
      <c r="U25" s="81"/>
      <c r="V25" s="82">
        <v>2021</v>
      </c>
      <c r="W25" s="81"/>
      <c r="X25" s="83">
        <v>2020</v>
      </c>
      <c r="AA25" s="80"/>
      <c r="AB25" s="81"/>
      <c r="AC25" s="81"/>
      <c r="AD25" s="81"/>
      <c r="AE25" s="81"/>
      <c r="AF25" s="81"/>
      <c r="AG25" s="82">
        <v>2021</v>
      </c>
      <c r="AH25" s="81"/>
      <c r="AI25" s="83">
        <v>2020</v>
      </c>
      <c r="AJ25" s="71"/>
    </row>
    <row r="26" spans="1:88" ht="21" customHeight="1">
      <c r="D26" s="84"/>
      <c r="E26" s="85"/>
      <c r="F26" s="85"/>
      <c r="G26" s="85"/>
      <c r="H26" s="85"/>
      <c r="I26" s="85"/>
      <c r="J26" s="86"/>
      <c r="K26" s="85"/>
      <c r="L26" s="87"/>
      <c r="P26" s="84"/>
      <c r="Q26" s="85"/>
      <c r="R26" s="85"/>
      <c r="S26" s="85"/>
      <c r="T26" s="85"/>
      <c r="U26" s="85"/>
      <c r="V26" s="86"/>
      <c r="W26" s="85"/>
      <c r="X26" s="87"/>
      <c r="AA26" s="84"/>
      <c r="AB26" s="85"/>
      <c r="AC26" s="85"/>
      <c r="AD26" s="85"/>
      <c r="AE26" s="85"/>
      <c r="AF26" s="85"/>
      <c r="AG26" s="86"/>
      <c r="AH26" s="85"/>
      <c r="AI26" s="87"/>
      <c r="AJ26" s="71"/>
    </row>
    <row r="27" spans="1:88" ht="21" customHeight="1">
      <c r="D27" s="84"/>
      <c r="E27" s="85"/>
      <c r="F27" s="85"/>
      <c r="G27" s="85"/>
      <c r="H27" s="85"/>
      <c r="I27" s="85"/>
      <c r="J27" s="133"/>
      <c r="K27" s="85"/>
      <c r="L27" s="134"/>
      <c r="P27" s="84"/>
      <c r="Q27" s="85"/>
      <c r="R27" s="85"/>
      <c r="S27" s="85"/>
      <c r="T27" s="85"/>
      <c r="U27" s="135"/>
      <c r="V27" s="133"/>
      <c r="W27" s="85"/>
      <c r="X27" s="134"/>
      <c r="AA27" s="84"/>
      <c r="AB27" s="85"/>
      <c r="AC27" s="85"/>
      <c r="AD27" s="85"/>
      <c r="AE27" s="85"/>
      <c r="AF27" s="85"/>
      <c r="AG27" s="133"/>
      <c r="AH27" s="85"/>
      <c r="AI27" s="134"/>
      <c r="AJ27" s="71"/>
      <c r="CJ27" s="136"/>
    </row>
    <row r="28" spans="1:88" ht="25.5" customHeight="1">
      <c r="D28" s="98" t="s">
        <v>178</v>
      </c>
      <c r="E28" s="85"/>
      <c r="F28" s="85"/>
      <c r="G28" s="85"/>
      <c r="H28" s="85"/>
      <c r="I28" s="85"/>
      <c r="J28" s="90">
        <f>'Common Size Financial Statement'!L23</f>
        <v>17401</v>
      </c>
      <c r="K28" s="85"/>
      <c r="L28" s="91">
        <f>'Common Size Financial Statement'!N23</f>
        <v>16157</v>
      </c>
      <c r="P28" s="98" t="s">
        <v>179</v>
      </c>
      <c r="Q28" s="85"/>
      <c r="R28" s="85"/>
      <c r="S28" s="85"/>
      <c r="T28" s="85"/>
      <c r="U28" s="85"/>
      <c r="V28" s="90">
        <f>'Common Size Financial Statement'!L23-'Common Size Financial Statement'!L17</f>
        <v>12718</v>
      </c>
      <c r="W28" s="85"/>
      <c r="X28" s="91">
        <f>'Common Size Financial Statement'!N23-'Common Size Financial Statement'!N17</f>
        <v>11695</v>
      </c>
      <c r="AA28" s="98" t="s">
        <v>180</v>
      </c>
      <c r="AB28" s="85"/>
      <c r="AC28" s="85"/>
      <c r="AD28" s="85"/>
      <c r="AE28" s="85"/>
      <c r="AF28" s="85"/>
      <c r="AG28" s="90">
        <f>'Common Size Financial Statement'!C6</f>
        <v>30259</v>
      </c>
      <c r="AH28" s="85"/>
      <c r="AI28" s="91">
        <f>'Common Size Financial Statement'!E6</f>
        <v>28684</v>
      </c>
      <c r="AJ28" s="71"/>
      <c r="AM28" s="74" t="s">
        <v>181</v>
      </c>
      <c r="AN28" s="75"/>
      <c r="AO28" s="75"/>
      <c r="AP28" s="75"/>
      <c r="AQ28" s="76"/>
      <c r="AR28" s="76"/>
      <c r="AS28" s="77" t="s">
        <v>143</v>
      </c>
      <c r="AT28" s="76"/>
      <c r="AU28" s="76"/>
      <c r="AV28" s="118"/>
    </row>
    <row r="29" spans="1:88" ht="21" customHeight="1">
      <c r="D29" s="96" t="s">
        <v>182</v>
      </c>
      <c r="E29" s="103"/>
      <c r="F29" s="85"/>
      <c r="G29" s="85"/>
      <c r="H29" s="85"/>
      <c r="I29" s="85"/>
      <c r="J29" s="90">
        <f>'Common Size Financial Statement'!L32</f>
        <v>24778</v>
      </c>
      <c r="K29" s="85"/>
      <c r="L29" s="91">
        <f>'Common Size Financial Statement'!N32</f>
        <v>20592</v>
      </c>
      <c r="P29" s="96" t="s">
        <v>182</v>
      </c>
      <c r="Q29" s="103"/>
      <c r="R29" s="85"/>
      <c r="S29" s="85"/>
      <c r="T29" s="85"/>
      <c r="U29" s="85"/>
      <c r="V29" s="104">
        <f>J29</f>
        <v>24778</v>
      </c>
      <c r="W29" s="85"/>
      <c r="X29" s="91">
        <f>'Common Size Financial Statement'!N32</f>
        <v>20592</v>
      </c>
      <c r="AA29" s="96" t="s">
        <v>183</v>
      </c>
      <c r="AB29" s="103"/>
      <c r="AC29" s="85"/>
      <c r="AD29" s="85"/>
      <c r="AE29" s="85"/>
      <c r="AF29" s="85"/>
      <c r="AG29" s="104">
        <f>AH35/2</f>
        <v>14496.5</v>
      </c>
      <c r="AH29" s="85"/>
      <c r="AI29" s="105">
        <f>AI35/2</f>
        <v>13913.5</v>
      </c>
      <c r="AJ29" s="71"/>
      <c r="AM29" s="80"/>
      <c r="AN29" s="81"/>
      <c r="AO29" s="81"/>
      <c r="AP29" s="81"/>
      <c r="AQ29" s="81"/>
      <c r="AR29" s="81"/>
      <c r="AS29" s="82">
        <v>2021</v>
      </c>
      <c r="AT29" s="81"/>
      <c r="AU29" s="82">
        <v>2020</v>
      </c>
      <c r="AV29" s="84"/>
    </row>
    <row r="30" spans="1:88" ht="21" customHeight="1">
      <c r="D30" s="84"/>
      <c r="E30" s="85"/>
      <c r="F30" s="85"/>
      <c r="G30" s="85"/>
      <c r="H30" s="85"/>
      <c r="I30" s="85"/>
      <c r="J30" s="85"/>
      <c r="K30" s="85"/>
      <c r="L30" s="94"/>
      <c r="P30" s="84"/>
      <c r="Q30" s="85"/>
      <c r="R30" s="85"/>
      <c r="S30" s="85"/>
      <c r="T30" s="85"/>
      <c r="U30" s="85"/>
      <c r="V30" s="85"/>
      <c r="W30" s="85"/>
      <c r="X30" s="94"/>
      <c r="AA30" s="84"/>
      <c r="AB30" s="85"/>
      <c r="AC30" s="85"/>
      <c r="AD30" s="85"/>
      <c r="AE30" s="85"/>
      <c r="AF30" s="85"/>
      <c r="AG30" s="85"/>
      <c r="AH30" s="85"/>
      <c r="AI30" s="94"/>
      <c r="AJ30" s="71"/>
      <c r="AM30" s="84"/>
      <c r="AN30" s="85"/>
      <c r="AO30" s="85"/>
      <c r="AP30" s="85"/>
      <c r="AQ30" s="85"/>
      <c r="AR30" s="85"/>
      <c r="AS30" s="86"/>
      <c r="AT30" s="85"/>
      <c r="AU30" s="86"/>
      <c r="AV30" s="118"/>
      <c r="AW30" s="152" t="s">
        <v>146</v>
      </c>
      <c r="AX30" t="s">
        <v>257</v>
      </c>
      <c r="BD30" s="315" t="s">
        <v>147</v>
      </c>
    </row>
    <row r="31" spans="1:88" ht="21" customHeight="1">
      <c r="D31" s="110"/>
      <c r="E31" s="110"/>
      <c r="F31" s="316" t="s">
        <v>184</v>
      </c>
      <c r="G31" s="316"/>
      <c r="H31" s="316"/>
      <c r="I31" s="316"/>
      <c r="J31" s="137">
        <f>J28/J29</f>
        <v>0.70227621276939223</v>
      </c>
      <c r="K31" s="110"/>
      <c r="L31" s="137">
        <f>L28/L29</f>
        <v>0.78462509712509709</v>
      </c>
      <c r="P31" s="110"/>
      <c r="Q31" s="110"/>
      <c r="R31" s="316" t="s">
        <v>184</v>
      </c>
      <c r="S31" s="316"/>
      <c r="T31" s="316"/>
      <c r="U31" s="316"/>
      <c r="V31" s="137">
        <f>V28/V29</f>
        <v>0.51327790782145455</v>
      </c>
      <c r="W31" s="110"/>
      <c r="X31" s="137">
        <f>X28/X29</f>
        <v>0.56793900543900544</v>
      </c>
      <c r="AA31" s="110"/>
      <c r="AB31" s="110"/>
      <c r="AC31" s="318"/>
      <c r="AD31" s="318"/>
      <c r="AE31" s="318"/>
      <c r="AF31" s="318"/>
      <c r="AG31" s="139">
        <f>AG28/AG29/100</f>
        <v>2.0873314248266821E-2</v>
      </c>
      <c r="AH31" s="138"/>
      <c r="AI31" s="139">
        <f>AI28/AI29/100</f>
        <v>2.061594853918856E-2</v>
      </c>
      <c r="AJ31" s="71"/>
      <c r="AM31" s="84"/>
      <c r="AN31" s="85"/>
      <c r="AO31" s="85"/>
      <c r="AP31" s="85"/>
      <c r="AQ31" s="85"/>
      <c r="AR31" s="85"/>
      <c r="AS31" s="133"/>
      <c r="AT31" s="85"/>
      <c r="AU31" s="133"/>
      <c r="AV31" s="84"/>
      <c r="BB31" s="231">
        <v>2</v>
      </c>
      <c r="BD31" s="315"/>
      <c r="BE31" s="70" t="s">
        <v>149</v>
      </c>
    </row>
    <row r="32" spans="1:88" ht="21" customHeight="1">
      <c r="AE32" s="140"/>
      <c r="AJ32" s="71"/>
      <c r="AM32" s="98" t="s">
        <v>185</v>
      </c>
      <c r="AN32" s="97"/>
      <c r="AO32" s="85"/>
      <c r="AP32" s="85"/>
      <c r="AQ32" s="85"/>
      <c r="AR32" s="85"/>
      <c r="AS32" s="90">
        <f>'Common Size Financial Statement'!C5</f>
        <v>52444</v>
      </c>
      <c r="AT32" s="85"/>
      <c r="AU32" s="90">
        <f>'Common Size Financial Statement'!E5</f>
        <v>50724</v>
      </c>
      <c r="AV32" s="84"/>
      <c r="AW32" s="70" t="s">
        <v>150</v>
      </c>
      <c r="AX32" t="s">
        <v>258</v>
      </c>
      <c r="BD32" s="315"/>
    </row>
    <row r="33" spans="1:90" ht="21" customHeight="1">
      <c r="Z33" s="141"/>
      <c r="AA33" s="141"/>
      <c r="AB33" s="141"/>
      <c r="AC33" s="141"/>
      <c r="AD33" s="142" t="s">
        <v>186</v>
      </c>
      <c r="AE33" s="141"/>
      <c r="AF33" s="141"/>
      <c r="AH33" s="143" t="s">
        <v>187</v>
      </c>
      <c r="AJ33" s="71"/>
      <c r="AM33" s="96" t="s">
        <v>188</v>
      </c>
      <c r="AN33" s="103"/>
      <c r="AO33" s="85"/>
      <c r="AP33" s="85"/>
      <c r="AQ33" s="85"/>
      <c r="AR33" s="85"/>
      <c r="AS33" s="104">
        <f>AS10</f>
        <v>71377</v>
      </c>
      <c r="AT33" s="85"/>
      <c r="AU33" s="104">
        <f>AU10</f>
        <v>66233</v>
      </c>
      <c r="AV33" s="118"/>
      <c r="BA33" s="231">
        <v>2</v>
      </c>
    </row>
    <row r="34" spans="1:90" ht="21" customHeight="1">
      <c r="Z34" s="141"/>
      <c r="AA34" s="141"/>
      <c r="AB34" s="141"/>
      <c r="AC34" s="141"/>
      <c r="AD34" s="141"/>
      <c r="AE34" s="141"/>
      <c r="AF34" s="141"/>
      <c r="AH34" s="144">
        <v>2021</v>
      </c>
      <c r="AI34" s="144">
        <v>2020</v>
      </c>
      <c r="AJ34" s="71"/>
      <c r="AM34" s="84"/>
      <c r="AN34" s="85"/>
      <c r="AO34" s="85"/>
      <c r="AP34" s="85"/>
      <c r="AQ34" s="85"/>
      <c r="AR34" s="85"/>
      <c r="AS34" s="85"/>
      <c r="AT34" s="85"/>
      <c r="AU34" s="85"/>
      <c r="AV34" s="118"/>
    </row>
    <row r="35" spans="1:90" ht="21" customHeight="1">
      <c r="AA35" s="142" t="s">
        <v>189</v>
      </c>
      <c r="AB35" s="141"/>
      <c r="AC35" s="141"/>
      <c r="AD35" s="319">
        <v>365</v>
      </c>
      <c r="AE35" s="319"/>
      <c r="AF35" s="141"/>
      <c r="AH35" s="145">
        <f>'Common Size Financial Statement'!L28+'Common Size Financial Statement'!N28</f>
        <v>28993</v>
      </c>
      <c r="AI35" s="145">
        <f>'Common Size Financial Statement'!N28+13695</f>
        <v>27827</v>
      </c>
      <c r="AJ35" s="71"/>
      <c r="AM35" s="110"/>
      <c r="AN35" s="110"/>
      <c r="AO35" s="146" t="s">
        <v>190</v>
      </c>
      <c r="AP35" s="147"/>
      <c r="AQ35" s="147"/>
      <c r="AR35" s="148"/>
      <c r="AS35" s="111">
        <f>AS32/AS33</f>
        <v>0.73474648696358769</v>
      </c>
      <c r="AT35" s="110"/>
      <c r="AU35" s="131">
        <f>AU32/AU33</f>
        <v>0.7658418009149518</v>
      </c>
      <c r="AV35" s="149"/>
    </row>
    <row r="36" spans="1:90" ht="15.5">
      <c r="Z36" s="141"/>
      <c r="AA36" s="141"/>
      <c r="AB36" s="141"/>
      <c r="AC36" s="141"/>
      <c r="AD36" s="150" t="s">
        <v>175</v>
      </c>
      <c r="AE36" s="151"/>
      <c r="AF36" s="141"/>
      <c r="AJ36" s="71"/>
    </row>
    <row r="37" spans="1:90" ht="15.5">
      <c r="AJ37" s="71"/>
      <c r="CL37" s="152"/>
    </row>
    <row r="38" spans="1:90" ht="15.5">
      <c r="AJ38" s="71"/>
      <c r="AK38" s="153"/>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CL38" s="152"/>
    </row>
    <row r="39" spans="1:90" ht="15.5">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8"/>
    </row>
    <row r="40" spans="1:90" ht="15.5">
      <c r="AJ40" s="71"/>
    </row>
    <row r="41" spans="1:90" ht="33" customHeight="1">
      <c r="C41" s="101">
        <v>3</v>
      </c>
      <c r="D41" s="102" t="s">
        <v>191</v>
      </c>
      <c r="AJ41" s="71"/>
      <c r="AL41" s="101">
        <v>5</v>
      </c>
      <c r="AM41" s="73" t="s">
        <v>192</v>
      </c>
      <c r="CJ41" s="85"/>
      <c r="CK41" s="85"/>
    </row>
    <row r="42" spans="1:90" ht="30.75" customHeight="1">
      <c r="D42" s="108" t="s">
        <v>193</v>
      </c>
      <c r="E42" s="75"/>
      <c r="F42" s="75"/>
      <c r="G42" s="75"/>
      <c r="H42" s="75"/>
      <c r="I42" s="76"/>
      <c r="J42" s="77" t="s">
        <v>143</v>
      </c>
      <c r="K42" s="76"/>
      <c r="L42" s="78"/>
      <c r="N42" s="154"/>
      <c r="O42" s="108" t="s">
        <v>194</v>
      </c>
      <c r="P42" s="75"/>
      <c r="Q42" s="75"/>
      <c r="R42" s="75"/>
      <c r="S42" s="75"/>
      <c r="T42" s="76"/>
      <c r="U42" s="77" t="s">
        <v>143</v>
      </c>
      <c r="V42" s="76"/>
      <c r="W42" s="78"/>
      <c r="Y42" s="108" t="s">
        <v>195</v>
      </c>
      <c r="Z42" s="75"/>
      <c r="AA42" s="75"/>
      <c r="AB42" s="75"/>
      <c r="AC42" s="75"/>
      <c r="AD42" s="76"/>
      <c r="AE42" s="77" t="s">
        <v>143</v>
      </c>
      <c r="AF42" s="76"/>
      <c r="AG42" s="78"/>
      <c r="AJ42" s="71"/>
      <c r="AM42" s="74" t="s">
        <v>196</v>
      </c>
      <c r="AN42" s="75"/>
      <c r="AO42" s="75"/>
      <c r="AP42" s="75"/>
      <c r="AQ42" s="75"/>
      <c r="AR42" s="76"/>
      <c r="AS42" s="77" t="s">
        <v>143</v>
      </c>
      <c r="AT42" s="76"/>
      <c r="AU42" s="76"/>
      <c r="AV42" s="155"/>
      <c r="AX42" s="74" t="s">
        <v>197</v>
      </c>
      <c r="AY42" s="75"/>
      <c r="AZ42" s="75"/>
      <c r="BA42" s="76"/>
      <c r="BB42" s="76"/>
      <c r="BC42" s="76"/>
      <c r="BD42" s="77" t="s">
        <v>143</v>
      </c>
      <c r="BE42" s="76"/>
      <c r="BF42" s="78"/>
      <c r="BG42" s="156"/>
      <c r="BI42" s="157"/>
      <c r="BO42" s="158"/>
      <c r="CJ42" s="85"/>
    </row>
    <row r="43" spans="1:90" ht="21" customHeight="1">
      <c r="D43" s="89" t="s">
        <v>198</v>
      </c>
      <c r="E43" s="85"/>
      <c r="F43" s="85"/>
      <c r="G43" s="85"/>
      <c r="H43" s="85"/>
      <c r="I43" s="85"/>
      <c r="J43" s="85"/>
      <c r="K43" s="85"/>
      <c r="L43" s="94"/>
      <c r="N43" s="154"/>
      <c r="O43" s="84"/>
      <c r="P43" s="85"/>
      <c r="Q43" s="85"/>
      <c r="R43" s="85"/>
      <c r="S43" s="85"/>
      <c r="T43" s="85"/>
      <c r="U43" s="85"/>
      <c r="V43" s="85"/>
      <c r="W43" s="94"/>
      <c r="Y43" s="89" t="s">
        <v>198</v>
      </c>
      <c r="Z43" s="85"/>
      <c r="AA43" s="85"/>
      <c r="AB43" s="85"/>
      <c r="AC43" s="85"/>
      <c r="AD43" s="85"/>
      <c r="AE43" s="85"/>
      <c r="AF43" s="85"/>
      <c r="AG43" s="94"/>
      <c r="AJ43" s="71"/>
      <c r="AM43" s="159" t="s">
        <v>199</v>
      </c>
      <c r="AN43" s="81"/>
      <c r="AO43" s="81"/>
      <c r="AP43" s="81"/>
      <c r="AQ43" s="81"/>
      <c r="AR43" s="81"/>
      <c r="AS43" s="82">
        <v>2021</v>
      </c>
      <c r="AT43" s="81"/>
      <c r="AU43" s="82">
        <v>2020</v>
      </c>
      <c r="AV43" s="160">
        <v>2019</v>
      </c>
      <c r="AX43" s="80"/>
      <c r="AY43" s="81"/>
      <c r="AZ43" s="81"/>
      <c r="BA43" s="81"/>
      <c r="BB43" s="81"/>
      <c r="BC43" s="81"/>
      <c r="BD43" s="82">
        <v>2021</v>
      </c>
      <c r="BE43" s="81"/>
      <c r="BF43" s="83">
        <v>2020</v>
      </c>
      <c r="BG43" s="160">
        <v>2019</v>
      </c>
      <c r="BI43" s="85"/>
      <c r="BJ43" s="85"/>
      <c r="BK43" s="85"/>
      <c r="BL43" s="85"/>
      <c r="BM43" s="85"/>
      <c r="BN43" s="85"/>
      <c r="BO43" s="86"/>
      <c r="BP43" s="85"/>
      <c r="BQ43" s="86"/>
      <c r="CJ43" s="85"/>
      <c r="CK43" s="85"/>
    </row>
    <row r="44" spans="1:90" ht="21" customHeight="1">
      <c r="D44" s="80"/>
      <c r="E44" s="81"/>
      <c r="F44" s="81"/>
      <c r="G44" s="81"/>
      <c r="H44" s="81"/>
      <c r="I44" s="81"/>
      <c r="J44" s="82">
        <v>2021</v>
      </c>
      <c r="K44" s="81"/>
      <c r="L44" s="83">
        <v>2020</v>
      </c>
      <c r="O44" s="80"/>
      <c r="P44" s="81"/>
      <c r="Q44" s="81"/>
      <c r="R44" s="81"/>
      <c r="S44" s="81"/>
      <c r="T44" s="81"/>
      <c r="U44" s="82">
        <v>2021</v>
      </c>
      <c r="V44" s="81"/>
      <c r="W44" s="83">
        <v>2020</v>
      </c>
      <c r="Y44" s="80"/>
      <c r="Z44" s="81"/>
      <c r="AA44" s="81"/>
      <c r="AB44" s="81"/>
      <c r="AC44" s="81"/>
      <c r="AD44" s="81"/>
      <c r="AE44" s="82">
        <v>2021</v>
      </c>
      <c r="AF44" s="81"/>
      <c r="AG44" s="83">
        <v>2020</v>
      </c>
      <c r="AJ44" s="71"/>
      <c r="AM44" s="89" t="s">
        <v>200</v>
      </c>
      <c r="AN44" s="85"/>
      <c r="AO44" s="85"/>
      <c r="AP44" s="85"/>
      <c r="AQ44" s="85"/>
      <c r="AR44" s="85"/>
      <c r="AS44" s="90">
        <f>'Common Size Financial Statement'!L48</f>
        <v>75095</v>
      </c>
      <c r="AT44" s="85"/>
      <c r="AU44" s="99">
        <f>'Common Size Financial Statement'!N48</f>
        <v>67659</v>
      </c>
      <c r="AV44" s="160">
        <v>64806</v>
      </c>
      <c r="AX44" s="161" t="str">
        <f>'Common Size Financial Statement'!J10</f>
        <v>Property, plant and equipment</v>
      </c>
      <c r="AY44" s="85"/>
      <c r="AZ44" s="85"/>
      <c r="BA44" s="85"/>
      <c r="BB44" s="85"/>
      <c r="BC44" s="85"/>
      <c r="BD44" s="90">
        <f>'Common Size Financial Statement'!L10</f>
        <v>10347</v>
      </c>
      <c r="BE44" s="85"/>
      <c r="BF44" s="91">
        <f>'Common Size Financial Statement'!N10</f>
        <v>10558</v>
      </c>
      <c r="BG44" s="162">
        <v>12062</v>
      </c>
      <c r="BI44" s="85"/>
      <c r="BJ44" s="85"/>
      <c r="BK44" s="85"/>
      <c r="BL44" s="85"/>
      <c r="BM44" s="85"/>
      <c r="BN44" s="85"/>
      <c r="BO44" s="133"/>
      <c r="BP44" s="85"/>
      <c r="BQ44" s="133"/>
    </row>
    <row r="45" spans="1:90" ht="21" customHeight="1">
      <c r="D45" s="84"/>
      <c r="E45" s="85"/>
      <c r="F45" s="85"/>
      <c r="G45" s="85"/>
      <c r="H45" s="85"/>
      <c r="I45" s="85"/>
      <c r="J45" s="85"/>
      <c r="K45" s="85"/>
      <c r="L45" s="94"/>
      <c r="O45" s="84"/>
      <c r="P45" s="85"/>
      <c r="Q45" s="85"/>
      <c r="R45" s="85"/>
      <c r="S45" s="85"/>
      <c r="T45" s="85"/>
      <c r="U45" s="85"/>
      <c r="V45" s="85"/>
      <c r="W45" s="94"/>
      <c r="Y45" s="84"/>
      <c r="Z45" s="85"/>
      <c r="AA45" s="85"/>
      <c r="AB45" s="85"/>
      <c r="AC45" s="85"/>
      <c r="AD45" s="85"/>
      <c r="AE45" s="85"/>
      <c r="AF45" s="85"/>
      <c r="AG45" s="94"/>
      <c r="AJ45" s="71"/>
      <c r="AM45" s="98" t="s">
        <v>82</v>
      </c>
      <c r="AN45" s="97"/>
      <c r="AO45" s="97"/>
      <c r="AP45" s="85"/>
      <c r="AQ45" s="85"/>
      <c r="AR45" s="85"/>
      <c r="AS45" s="90">
        <f>'Common Size Financial Statement'!C5</f>
        <v>52444</v>
      </c>
      <c r="AT45" s="135"/>
      <c r="AU45" s="99">
        <f>'Common Size Financial Statement'!E5</f>
        <v>50724</v>
      </c>
      <c r="AV45" s="163"/>
      <c r="AX45" s="98" t="s">
        <v>82</v>
      </c>
      <c r="AY45" s="85"/>
      <c r="AZ45" s="85"/>
      <c r="BA45" s="85"/>
      <c r="BB45" s="85"/>
      <c r="BC45" s="85"/>
      <c r="BD45" s="104">
        <v>52444</v>
      </c>
      <c r="BE45" s="135"/>
      <c r="BF45" s="91">
        <f>'Common Size Financial Statement'!E5</f>
        <v>50724</v>
      </c>
      <c r="BG45" s="163"/>
      <c r="BI45" s="97"/>
      <c r="BJ45" s="85"/>
      <c r="BK45" s="85"/>
      <c r="BL45" s="85"/>
      <c r="BM45" s="85"/>
      <c r="BN45" s="85"/>
      <c r="BO45" s="164"/>
      <c r="BP45" s="135"/>
      <c r="BQ45" s="135"/>
    </row>
    <row r="46" spans="1:90" ht="21" customHeight="1">
      <c r="D46" s="114" t="s">
        <v>201</v>
      </c>
      <c r="E46" s="81"/>
      <c r="F46" s="85"/>
      <c r="G46" s="85"/>
      <c r="H46" s="85"/>
      <c r="I46" s="135"/>
      <c r="J46" s="90">
        <f>'Common Size Financial Statement'!L34</f>
        <v>22881</v>
      </c>
      <c r="K46" s="85"/>
      <c r="L46" s="91">
        <f>'Common Size Financial Statement'!N34</f>
        <v>22844</v>
      </c>
      <c r="O46" s="114" t="s">
        <v>202</v>
      </c>
      <c r="P46" s="81"/>
      <c r="Q46" s="85"/>
      <c r="R46" s="85"/>
      <c r="S46" s="85"/>
      <c r="T46" s="135"/>
      <c r="U46" s="90">
        <f>'Common Size Financial Statement'!L43</f>
        <v>55349</v>
      </c>
      <c r="V46" s="85"/>
      <c r="W46" s="91">
        <f>'Common Size Financial Statement'!N43</f>
        <v>50004</v>
      </c>
      <c r="Y46" s="114" t="s">
        <v>203</v>
      </c>
      <c r="Z46" s="81"/>
      <c r="AA46" s="85"/>
      <c r="AB46" s="85"/>
      <c r="AC46" s="85"/>
      <c r="AD46" s="135"/>
      <c r="AE46" s="90">
        <f>'Common Size Financial Statement'!C13</f>
        <v>8702</v>
      </c>
      <c r="AF46" s="85"/>
      <c r="AG46" s="91">
        <f>'Common Size Financial Statement'!E13</f>
        <v>8303</v>
      </c>
      <c r="AJ46" s="71"/>
      <c r="AM46" s="96" t="s">
        <v>204</v>
      </c>
      <c r="AN46" s="103"/>
      <c r="AO46" s="103"/>
      <c r="AP46" s="85"/>
      <c r="AQ46" s="85"/>
      <c r="AR46" s="85"/>
      <c r="AS46" s="104">
        <f>142754/2</f>
        <v>71377</v>
      </c>
      <c r="AT46" s="135"/>
      <c r="AU46" s="128">
        <f>132465/2</f>
        <v>66232.5</v>
      </c>
      <c r="AV46" s="165"/>
      <c r="AX46" s="96" t="s">
        <v>205</v>
      </c>
      <c r="AY46" s="166"/>
      <c r="AZ46" s="166"/>
      <c r="BA46" s="85"/>
      <c r="BB46" s="85"/>
      <c r="BC46" s="85"/>
      <c r="BD46" s="104">
        <f>20905/2</f>
        <v>10452.5</v>
      </c>
      <c r="BE46" s="135"/>
      <c r="BF46" s="105">
        <f>22620/2</f>
        <v>11310</v>
      </c>
      <c r="BG46" s="163"/>
      <c r="BI46" s="97"/>
      <c r="BJ46" s="85"/>
      <c r="BK46" s="85"/>
      <c r="BL46" s="85"/>
      <c r="BM46" s="85"/>
      <c r="BN46" s="85"/>
      <c r="BO46" s="164"/>
      <c r="BP46" s="135"/>
      <c r="BQ46" s="167"/>
    </row>
    <row r="47" spans="1:90" ht="21" customHeight="1">
      <c r="D47" s="98" t="s">
        <v>128</v>
      </c>
      <c r="E47" s="85"/>
      <c r="F47" s="85"/>
      <c r="G47" s="85"/>
      <c r="H47" s="168"/>
      <c r="I47" s="85"/>
      <c r="J47" s="90">
        <f>'Common Size Financial Statement'!L47</f>
        <v>19746</v>
      </c>
      <c r="K47" s="85"/>
      <c r="L47" s="91">
        <f>'Common Size Financial Statement'!N47</f>
        <v>17655</v>
      </c>
      <c r="O47" s="98" t="s">
        <v>206</v>
      </c>
      <c r="P47" s="85"/>
      <c r="Q47" s="85"/>
      <c r="R47" s="85"/>
      <c r="S47" s="168"/>
      <c r="T47" s="85"/>
      <c r="U47" s="90">
        <f>'Common Size Financial Statement'!L24</f>
        <v>75095</v>
      </c>
      <c r="V47" s="85"/>
      <c r="W47" s="91">
        <f>'Common Size Financial Statement'!N24</f>
        <v>67659</v>
      </c>
      <c r="Y47" s="98" t="s">
        <v>207</v>
      </c>
      <c r="Z47" s="85"/>
      <c r="AA47" s="85"/>
      <c r="AB47" s="85"/>
      <c r="AC47" s="168"/>
      <c r="AD47" s="85"/>
      <c r="AE47" s="90">
        <f>'Common Size Financial Statement'!C14</f>
        <v>354</v>
      </c>
      <c r="AF47" s="85"/>
      <c r="AG47" s="91">
        <f>'Common Size Financial Statement'!E14</f>
        <v>505</v>
      </c>
      <c r="AJ47" s="71"/>
      <c r="AM47" s="84"/>
      <c r="AN47" s="85"/>
      <c r="AO47" s="85"/>
      <c r="AP47" s="85"/>
      <c r="AQ47" s="85"/>
      <c r="AR47" s="85"/>
      <c r="AS47" s="133"/>
      <c r="AT47" s="85"/>
      <c r="AU47" s="86"/>
      <c r="AV47" s="165"/>
      <c r="AX47" s="84"/>
      <c r="AY47" s="85"/>
      <c r="AZ47" s="85"/>
      <c r="BA47" s="85"/>
      <c r="BB47" s="85"/>
      <c r="BC47" s="85"/>
      <c r="BD47" s="133"/>
      <c r="BE47" s="85"/>
      <c r="BF47" s="87"/>
      <c r="BG47" s="163"/>
      <c r="BI47" s="85"/>
      <c r="BJ47" s="85"/>
      <c r="BK47" s="85"/>
      <c r="BL47" s="85"/>
      <c r="BM47" s="85"/>
      <c r="BN47" s="85"/>
      <c r="BO47" s="133"/>
      <c r="BP47" s="85"/>
      <c r="BQ47" s="86"/>
    </row>
    <row r="48" spans="1:90" ht="21" customHeight="1">
      <c r="D48" s="84"/>
      <c r="E48" s="85"/>
      <c r="F48" s="85"/>
      <c r="G48" s="85"/>
      <c r="H48" s="85"/>
      <c r="I48" s="85"/>
      <c r="J48" s="85"/>
      <c r="K48" s="85"/>
      <c r="L48" s="94"/>
      <c r="O48" s="84"/>
      <c r="P48" s="85"/>
      <c r="Q48" s="85"/>
      <c r="R48" s="85"/>
      <c r="S48" s="85"/>
      <c r="T48" s="85"/>
      <c r="U48" s="85"/>
      <c r="V48" s="85"/>
      <c r="W48" s="94"/>
      <c r="Y48" s="84"/>
      <c r="Z48" s="85"/>
      <c r="AA48" s="85"/>
      <c r="AB48" s="85"/>
      <c r="AC48" s="85"/>
      <c r="AD48" s="85"/>
      <c r="AE48" s="85"/>
      <c r="AF48" s="85"/>
      <c r="AG48" s="94"/>
      <c r="AJ48" s="71"/>
      <c r="AM48" s="84"/>
      <c r="AN48" s="85"/>
      <c r="AO48" s="85"/>
      <c r="AP48" s="85"/>
      <c r="AQ48" s="85"/>
      <c r="AR48" s="85"/>
      <c r="AS48" s="85"/>
      <c r="AT48" s="85"/>
      <c r="AU48" s="85"/>
      <c r="AV48" s="165"/>
      <c r="AX48" s="84"/>
      <c r="AY48" s="85"/>
      <c r="AZ48" s="85"/>
      <c r="BA48" s="85"/>
      <c r="BB48" s="85"/>
      <c r="BC48" s="85"/>
      <c r="BD48" s="85"/>
      <c r="BE48" s="85"/>
      <c r="BF48" s="94"/>
      <c r="BG48" s="163"/>
      <c r="BI48" s="85"/>
      <c r="BJ48" s="85"/>
      <c r="BK48" s="85"/>
      <c r="BL48" s="85"/>
      <c r="BM48" s="85"/>
      <c r="BN48" s="85"/>
      <c r="BO48" s="85"/>
      <c r="BP48" s="85"/>
      <c r="BQ48" s="85"/>
    </row>
    <row r="49" spans="4:88" ht="21" customHeight="1">
      <c r="D49" s="318"/>
      <c r="E49" s="318"/>
      <c r="F49" s="318"/>
      <c r="G49" s="119" t="s">
        <v>208</v>
      </c>
      <c r="H49" s="110"/>
      <c r="I49" s="110"/>
      <c r="J49" s="169">
        <f>J46/J47</f>
        <v>1.1587663324217563</v>
      </c>
      <c r="K49" s="110"/>
      <c r="L49" s="170">
        <f>L46/L47</f>
        <v>1.2939110733503256</v>
      </c>
      <c r="O49" s="318"/>
      <c r="P49" s="318"/>
      <c r="Q49" s="318"/>
      <c r="R49" s="119" t="s">
        <v>209</v>
      </c>
      <c r="S49" s="110"/>
      <c r="T49" s="110"/>
      <c r="U49" s="169">
        <f>U46/U47</f>
        <v>0.73705306611625276</v>
      </c>
      <c r="V49" s="110"/>
      <c r="W49" s="170">
        <f>W46/W47</f>
        <v>0.7390591052188179</v>
      </c>
      <c r="Y49" s="318"/>
      <c r="Z49" s="318"/>
      <c r="AA49" s="318"/>
      <c r="AB49" s="119" t="s">
        <v>209</v>
      </c>
      <c r="AC49" s="110"/>
      <c r="AD49" s="110"/>
      <c r="AE49" s="169">
        <f>AE46/AE47</f>
        <v>24.581920903954803</v>
      </c>
      <c r="AF49" s="110"/>
      <c r="AG49" s="170">
        <f>AG46/AG47</f>
        <v>16.441584158415843</v>
      </c>
      <c r="AJ49" s="71"/>
      <c r="AM49" s="110"/>
      <c r="AN49" s="110"/>
      <c r="AO49" s="316" t="s">
        <v>210</v>
      </c>
      <c r="AP49" s="316"/>
      <c r="AQ49" s="316"/>
      <c r="AR49" s="316"/>
      <c r="AS49" s="170">
        <f>AS45/AS46</f>
        <v>0.73474648696358769</v>
      </c>
      <c r="AT49" s="171"/>
      <c r="AU49" s="172">
        <f>AU45/AU46</f>
        <v>0.76584758238025141</v>
      </c>
      <c r="AV49" s="173"/>
      <c r="AX49" s="110"/>
      <c r="AY49" s="110"/>
      <c r="AZ49" s="146" t="s">
        <v>211</v>
      </c>
      <c r="BA49" s="147"/>
      <c r="BB49" s="147"/>
      <c r="BC49" s="148"/>
      <c r="BD49" s="170">
        <f>BD45/BD46</f>
        <v>5.0173642669217893</v>
      </c>
      <c r="BE49" s="171"/>
      <c r="BF49" s="170">
        <f>BF45/BF46</f>
        <v>4.4848806366047747</v>
      </c>
      <c r="BG49" s="174"/>
      <c r="BI49" s="175"/>
      <c r="BJ49" s="175"/>
      <c r="BK49" s="317"/>
      <c r="BL49" s="317"/>
      <c r="BM49" s="317"/>
      <c r="BN49" s="317"/>
      <c r="BO49" s="176"/>
      <c r="BP49" s="177"/>
      <c r="BQ49" s="178"/>
    </row>
    <row r="50" spans="4:88" ht="21" customHeight="1">
      <c r="AJ50" s="71"/>
      <c r="CJ50" s="85"/>
    </row>
    <row r="51" spans="4:88" ht="21" customHeight="1">
      <c r="AJ51" s="71"/>
      <c r="CJ51" s="85"/>
    </row>
    <row r="52" spans="4:88" ht="21" customHeight="1">
      <c r="AJ52" s="71"/>
      <c r="CJ52" s="85"/>
    </row>
    <row r="53" spans="4:88" ht="21" customHeight="1">
      <c r="AJ53" s="71"/>
      <c r="CJ53" s="85"/>
    </row>
    <row r="54" spans="4:88" ht="25.5" customHeight="1">
      <c r="AJ54" s="71"/>
      <c r="AM54" s="74" t="s">
        <v>212</v>
      </c>
      <c r="AN54" s="75"/>
      <c r="AO54" s="75"/>
      <c r="AP54" s="75"/>
      <c r="AQ54" s="75"/>
      <c r="AR54" s="76"/>
      <c r="AS54" s="77" t="s">
        <v>143</v>
      </c>
      <c r="AT54" s="76"/>
      <c r="AU54" s="78"/>
      <c r="AW54" s="179" t="s">
        <v>213</v>
      </c>
      <c r="AX54" s="75"/>
      <c r="AY54" s="75"/>
      <c r="AZ54" s="75"/>
      <c r="BA54" s="76"/>
      <c r="BB54" s="77" t="s">
        <v>143</v>
      </c>
      <c r="BC54" s="76"/>
      <c r="BD54" s="78"/>
      <c r="BE54" s="155"/>
      <c r="CJ54" s="85"/>
    </row>
    <row r="55" spans="4:88" ht="21" customHeight="1">
      <c r="AJ55" s="71"/>
      <c r="AM55" s="80"/>
      <c r="AN55" s="81"/>
      <c r="AO55" s="81"/>
      <c r="AP55" s="81"/>
      <c r="AQ55" s="81"/>
      <c r="AR55" s="81"/>
      <c r="AS55" s="82">
        <v>2021</v>
      </c>
      <c r="AT55" s="81"/>
      <c r="AU55" s="83">
        <v>2020</v>
      </c>
      <c r="AW55" s="80"/>
      <c r="AX55" s="81"/>
      <c r="AY55" s="81"/>
      <c r="AZ55" s="81"/>
      <c r="BA55" s="81"/>
      <c r="BB55" s="82">
        <v>2021</v>
      </c>
      <c r="BC55" s="81"/>
      <c r="BD55" s="83">
        <v>2020</v>
      </c>
      <c r="BE55" s="180">
        <v>2019</v>
      </c>
      <c r="BF55" s="86"/>
      <c r="CJ55" s="85"/>
    </row>
    <row r="56" spans="4:88" ht="21" customHeight="1">
      <c r="AJ56" s="71"/>
      <c r="AM56" s="84"/>
      <c r="AN56" s="85"/>
      <c r="AO56" s="85"/>
      <c r="AP56" s="85"/>
      <c r="AQ56" s="85"/>
      <c r="AR56" s="85"/>
      <c r="AS56" s="86"/>
      <c r="AT56" s="85"/>
      <c r="AU56" s="87"/>
      <c r="AW56" s="89" t="s">
        <v>214</v>
      </c>
      <c r="AX56" s="85"/>
      <c r="AY56" s="85"/>
      <c r="AZ56" s="85"/>
      <c r="BA56" s="85"/>
      <c r="BB56" s="90">
        <f>'Common Size Financial Statement'!L17</f>
        <v>4683</v>
      </c>
      <c r="BC56" s="85"/>
      <c r="BD56" s="91">
        <f>'Common Size Financial Statement'!N17</f>
        <v>4462</v>
      </c>
      <c r="BE56" s="181">
        <v>4164</v>
      </c>
      <c r="BF56" s="86"/>
      <c r="BG56" s="182" t="s">
        <v>215</v>
      </c>
      <c r="BH56" s="158"/>
      <c r="BI56" s="158"/>
      <c r="BJ56" s="158"/>
      <c r="BK56" s="183" t="s">
        <v>216</v>
      </c>
      <c r="BL56" s="158"/>
      <c r="BM56" s="184" t="s">
        <v>217</v>
      </c>
      <c r="BN56" s="185">
        <v>365</v>
      </c>
      <c r="BO56" s="36" t="s">
        <v>217</v>
      </c>
      <c r="BP56" s="186">
        <v>55</v>
      </c>
      <c r="CJ56" s="85"/>
    </row>
    <row r="57" spans="4:88" ht="21" customHeight="1">
      <c r="AJ57" s="71"/>
      <c r="AM57" s="98" t="s">
        <v>82</v>
      </c>
      <c r="AN57" s="85"/>
      <c r="AO57" s="85"/>
      <c r="AP57" s="85"/>
      <c r="AQ57" s="85"/>
      <c r="AR57" s="85"/>
      <c r="AS57" s="90">
        <f>'Common Size Financial Statement'!C5</f>
        <v>52444</v>
      </c>
      <c r="AT57" s="135"/>
      <c r="AU57" s="91">
        <f>'Common Size Financial Statement'!E5</f>
        <v>50724</v>
      </c>
      <c r="AW57" s="89" t="s">
        <v>218</v>
      </c>
      <c r="AX57" s="85"/>
      <c r="AY57" s="85"/>
      <c r="AZ57" s="85"/>
      <c r="BA57" s="85"/>
      <c r="BB57" s="90">
        <f>'Common Size Financial Statement'!C6</f>
        <v>30259</v>
      </c>
      <c r="BC57" s="135"/>
      <c r="BD57" s="91">
        <f>'Common Size Financial Statement'!E6</f>
        <v>28684</v>
      </c>
      <c r="BE57" s="165"/>
      <c r="BG57" s="158"/>
      <c r="BH57" s="158"/>
      <c r="BI57" s="158"/>
      <c r="BJ57" s="77" t="s">
        <v>219</v>
      </c>
      <c r="BK57" s="187"/>
      <c r="BL57" s="187"/>
      <c r="BN57" s="188">
        <f>BB61</f>
        <v>6.6176052487698191</v>
      </c>
      <c r="BP57" s="189"/>
      <c r="CJ57" s="85"/>
    </row>
    <row r="58" spans="4:88" ht="21" customHeight="1">
      <c r="AJ58" s="71"/>
      <c r="AM58" s="96" t="s">
        <v>220</v>
      </c>
      <c r="AN58" s="166"/>
      <c r="AO58" s="166"/>
      <c r="AP58" s="166"/>
      <c r="AQ58" s="85"/>
      <c r="AR58" s="85"/>
      <c r="AS58" s="90">
        <f>'Common Size Financial Statement'!L23</f>
        <v>17401</v>
      </c>
      <c r="AT58" s="135"/>
      <c r="AU58" s="91">
        <f>'Common Size Financial Statement'!N23</f>
        <v>16157</v>
      </c>
      <c r="AW58" s="190" t="s">
        <v>221</v>
      </c>
      <c r="AX58" s="166"/>
      <c r="AY58" s="166"/>
      <c r="AZ58" s="85"/>
      <c r="BA58" s="85"/>
      <c r="BB58" s="104">
        <f>9145/2</f>
        <v>4572.5</v>
      </c>
      <c r="BC58" s="135"/>
      <c r="BD58" s="105">
        <f>8626/2</f>
        <v>4313</v>
      </c>
      <c r="BE58" s="165"/>
      <c r="BF58" s="191"/>
    </row>
    <row r="59" spans="4:88" ht="21" customHeight="1">
      <c r="AJ59" s="71"/>
      <c r="AM59" s="192" t="s">
        <v>222</v>
      </c>
      <c r="AN59" s="85"/>
      <c r="AO59" s="85"/>
      <c r="AP59" s="85"/>
      <c r="AQ59" s="85"/>
      <c r="AR59" s="85"/>
      <c r="AS59" s="133"/>
      <c r="AT59" s="85"/>
      <c r="AU59" s="87"/>
      <c r="AW59" s="84"/>
      <c r="AX59" s="85"/>
      <c r="AY59" s="85"/>
      <c r="AZ59" s="85"/>
      <c r="BA59" s="85"/>
      <c r="BB59" s="133"/>
      <c r="BC59" s="85"/>
      <c r="BD59" s="134"/>
      <c r="BE59" s="165"/>
    </row>
    <row r="60" spans="4:88" ht="21" customHeight="1">
      <c r="AJ60" s="71"/>
      <c r="AM60" s="84"/>
      <c r="AN60" s="85"/>
      <c r="AO60" s="85"/>
      <c r="AP60" s="85"/>
      <c r="AQ60" s="85"/>
      <c r="AR60" s="85"/>
      <c r="AS60" s="85"/>
      <c r="AU60" s="94"/>
      <c r="AW60" s="84"/>
      <c r="AX60" s="85"/>
      <c r="AY60" s="85"/>
      <c r="AZ60" s="85"/>
      <c r="BA60" s="85"/>
      <c r="BB60" s="193"/>
      <c r="BC60" s="85"/>
      <c r="BD60" s="94"/>
      <c r="BE60" s="194"/>
    </row>
    <row r="61" spans="4:88" ht="21" customHeight="1">
      <c r="AJ61" s="71"/>
      <c r="AM61" s="110"/>
      <c r="AN61" s="110"/>
      <c r="AO61" s="320" t="s">
        <v>223</v>
      </c>
      <c r="AP61" s="320"/>
      <c r="AQ61" s="320"/>
      <c r="AR61" s="320"/>
      <c r="AS61" s="137">
        <f>AS57/AS58</f>
        <v>3.0138497787483476</v>
      </c>
      <c r="AT61" s="171"/>
      <c r="AU61" s="121">
        <f>AU57/AU58/100</f>
        <v>3.1394442037506964E-2</v>
      </c>
      <c r="AW61" s="110"/>
      <c r="AX61" s="320" t="s">
        <v>224</v>
      </c>
      <c r="AY61" s="320"/>
      <c r="AZ61" s="320"/>
      <c r="BA61" s="320"/>
      <c r="BB61" s="170">
        <f>BB57/BB58</f>
        <v>6.6176052487698191</v>
      </c>
      <c r="BC61" s="171"/>
      <c r="BD61" s="170">
        <f>BD57/BD58</f>
        <v>6.650591235798748</v>
      </c>
      <c r="BE61" s="173"/>
    </row>
    <row r="62" spans="4:88" ht="15.5">
      <c r="AJ62" s="71"/>
    </row>
    <row r="63" spans="4:88" ht="15.5">
      <c r="AJ63" s="71"/>
    </row>
    <row r="64" spans="4:88" ht="15.5">
      <c r="AJ64" s="71"/>
    </row>
    <row r="65" spans="36:56" ht="15.5">
      <c r="AJ65" s="71"/>
    </row>
    <row r="66" spans="36:56" ht="15.5">
      <c r="AJ66" s="71"/>
    </row>
    <row r="67" spans="36:56" ht="25.5" customHeight="1">
      <c r="AJ67" s="71"/>
      <c r="AM67" s="74" t="s">
        <v>225</v>
      </c>
      <c r="AN67" s="75"/>
      <c r="AO67" s="75"/>
      <c r="AP67" s="75"/>
      <c r="AQ67" s="76"/>
      <c r="AR67" s="76"/>
      <c r="AS67" s="77" t="s">
        <v>143</v>
      </c>
      <c r="AT67" s="76"/>
      <c r="AU67" s="78"/>
      <c r="AV67" s="156"/>
    </row>
    <row r="68" spans="36:56" ht="21" customHeight="1">
      <c r="AJ68" s="71"/>
      <c r="AM68" s="80"/>
      <c r="AN68" s="81"/>
      <c r="AO68" s="81"/>
      <c r="AP68" s="81"/>
      <c r="AQ68" s="81"/>
      <c r="AR68" s="81"/>
      <c r="AS68" s="82">
        <v>2021</v>
      </c>
      <c r="AT68" s="81"/>
      <c r="AU68" s="83">
        <v>2020</v>
      </c>
      <c r="AV68" s="195">
        <v>2019</v>
      </c>
      <c r="AW68" s="158"/>
      <c r="AX68" s="158"/>
      <c r="AY68" s="158"/>
      <c r="AZ68" s="158"/>
      <c r="BA68" s="158"/>
      <c r="BB68" s="158"/>
    </row>
    <row r="69" spans="36:56" ht="21" customHeight="1">
      <c r="AJ69" s="71"/>
      <c r="AM69" s="161" t="str">
        <f>'Common Size Financial Statement'!J18</f>
        <v>Trade and other current receivables</v>
      </c>
      <c r="AN69" s="85"/>
      <c r="AO69" s="85"/>
      <c r="AP69" s="85"/>
      <c r="AQ69" s="85"/>
      <c r="AR69" s="85"/>
      <c r="AS69" s="90">
        <f>'Common Size Financial Statement'!L18</f>
        <v>5422</v>
      </c>
      <c r="AT69" s="85"/>
      <c r="AU69" s="91">
        <f>'Common Size Financial Statement'!N18</f>
        <v>4939</v>
      </c>
      <c r="AV69" s="160">
        <v>6695</v>
      </c>
      <c r="AW69" s="196"/>
      <c r="AX69" s="158"/>
      <c r="AY69" s="158"/>
      <c r="AZ69" s="158"/>
      <c r="BA69" s="158"/>
      <c r="BB69" s="158"/>
    </row>
    <row r="70" spans="36:56" ht="21" customHeight="1">
      <c r="AJ70" s="71"/>
      <c r="AM70" s="98" t="s">
        <v>185</v>
      </c>
      <c r="AN70" s="85"/>
      <c r="AO70" s="85"/>
      <c r="AP70" s="85"/>
      <c r="AQ70" s="85"/>
      <c r="AR70" s="85"/>
      <c r="AS70" s="90">
        <f>'Common Size Financial Statement'!C5</f>
        <v>52444</v>
      </c>
      <c r="AT70" s="135"/>
      <c r="AU70" s="91">
        <f>'Common Size Financial Statement'!E5</f>
        <v>50724</v>
      </c>
      <c r="AV70" s="163"/>
      <c r="AW70" s="158"/>
      <c r="AX70" s="158"/>
      <c r="AY70" s="183" t="s">
        <v>226</v>
      </c>
      <c r="AZ70" s="158"/>
      <c r="BA70" s="36" t="s">
        <v>217</v>
      </c>
      <c r="BB70" s="185">
        <v>365</v>
      </c>
      <c r="BC70" s="36" t="s">
        <v>217</v>
      </c>
      <c r="BD70" s="197">
        <f>BB70/BB71</f>
        <v>36.055268476851495</v>
      </c>
    </row>
    <row r="71" spans="36:56" ht="21" customHeight="1">
      <c r="AJ71" s="71"/>
      <c r="AM71" s="96" t="s">
        <v>227</v>
      </c>
      <c r="AN71" s="166"/>
      <c r="AO71" s="166"/>
      <c r="AP71" s="166"/>
      <c r="AQ71" s="85"/>
      <c r="AR71" s="85"/>
      <c r="AS71" s="104">
        <f>10361/2</f>
        <v>5180.5</v>
      </c>
      <c r="AT71" s="135"/>
      <c r="AU71" s="105">
        <f>11634/2</f>
        <v>5817</v>
      </c>
      <c r="AV71" s="163"/>
      <c r="AW71" s="158"/>
      <c r="AX71" s="77" t="s">
        <v>228</v>
      </c>
      <c r="AY71" s="187"/>
      <c r="AZ71" s="187"/>
      <c r="BA71" s="198"/>
      <c r="BB71" s="188">
        <f>AS74</f>
        <v>10.123347167261848</v>
      </c>
      <c r="BC71" s="198"/>
      <c r="BD71" s="198"/>
    </row>
    <row r="72" spans="36:56" ht="21" customHeight="1">
      <c r="AJ72" s="71"/>
      <c r="AM72" s="84"/>
      <c r="AN72" s="85"/>
      <c r="AO72" s="85"/>
      <c r="AP72" s="85"/>
      <c r="AQ72" s="85"/>
      <c r="AR72" s="85"/>
      <c r="AS72" s="133"/>
      <c r="AT72" s="85"/>
      <c r="AU72" s="87"/>
      <c r="AV72" s="163"/>
    </row>
    <row r="73" spans="36:56" ht="21" customHeight="1">
      <c r="AJ73" s="71"/>
      <c r="AM73" s="143" t="s">
        <v>229</v>
      </c>
      <c r="AN73" s="85"/>
      <c r="AO73" s="85"/>
      <c r="AP73" s="85"/>
      <c r="AQ73" s="85"/>
      <c r="AR73" s="85"/>
      <c r="AS73" s="85"/>
      <c r="AT73" s="85"/>
      <c r="AU73" s="94"/>
      <c r="AV73" s="174"/>
    </row>
    <row r="74" spans="36:56" ht="21" customHeight="1">
      <c r="AJ74" s="71"/>
      <c r="AM74" s="110"/>
      <c r="AN74" s="110"/>
      <c r="AO74" s="320" t="s">
        <v>230</v>
      </c>
      <c r="AP74" s="320"/>
      <c r="AQ74" s="320"/>
      <c r="AR74" s="320"/>
      <c r="AS74" s="137">
        <f>AS70/AS71</f>
        <v>10.123347167261848</v>
      </c>
      <c r="AT74" s="171"/>
      <c r="AU74" s="170">
        <f>AU70/AU71</f>
        <v>8.7199587416193918</v>
      </c>
      <c r="AV74" s="173"/>
    </row>
    <row r="75" spans="36:56" ht="15.5">
      <c r="AJ75" s="71"/>
    </row>
    <row r="76" spans="36:56" ht="15.5">
      <c r="AJ76" s="71"/>
    </row>
    <row r="77" spans="36:56" ht="15.5">
      <c r="AJ77" s="71"/>
    </row>
  </sheetData>
  <mergeCells count="19">
    <mergeCell ref="AO61:AR61"/>
    <mergeCell ref="AX61:BA61"/>
    <mergeCell ref="AO74:AR74"/>
    <mergeCell ref="D1:AX2"/>
    <mergeCell ref="D49:F49"/>
    <mergeCell ref="O49:Q49"/>
    <mergeCell ref="Y49:AA49"/>
    <mergeCell ref="AO49:AR49"/>
    <mergeCell ref="BK49:BN49"/>
    <mergeCell ref="BD30:BD32"/>
    <mergeCell ref="F31:I31"/>
    <mergeCell ref="R31:U31"/>
    <mergeCell ref="AC31:AF31"/>
    <mergeCell ref="AD35:AE35"/>
    <mergeCell ref="BD7:BD9"/>
    <mergeCell ref="AO12:AR12"/>
    <mergeCell ref="BJ12:BM12"/>
    <mergeCell ref="BD20:BD22"/>
    <mergeCell ref="AO24:AR24"/>
  </mergeCells>
  <pageMargins left="0.25" right="0.25" top="0.4" bottom="0.4" header="0.511811023622047" footer="0.2"/>
  <pageSetup paperSize="9" fitToHeight="0" orientation="landscape" horizontalDpi="300" verticalDpi="300"/>
  <headerFooter>
    <oddFooter>&amp;CUnilever Group Financial Analysis | Portfolio Project&amp;RPage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DBE4F-BC17-49D5-82C6-85E44F103556}">
  <sheetPr>
    <pageSetUpPr fitToPage="1"/>
  </sheetPr>
  <dimension ref="A1:T38"/>
  <sheetViews>
    <sheetView showGridLines="0" tabSelected="1" zoomScale="49" zoomScaleNormal="44" workbookViewId="0">
      <selection sqref="A1:I45"/>
    </sheetView>
  </sheetViews>
  <sheetFormatPr defaultRowHeight="18.5"/>
  <cols>
    <col min="1" max="6" width="8.6640625" style="232"/>
    <col min="7" max="7" width="13.6640625" style="232" customWidth="1"/>
    <col min="8" max="8" width="13.4140625" style="232" customWidth="1"/>
    <col min="9" max="9" width="19.33203125" style="232" customWidth="1"/>
    <col min="10" max="10" width="18.25" style="232" customWidth="1"/>
    <col min="11" max="11" width="4.6640625" style="232" customWidth="1"/>
    <col min="12" max="12" width="8.6640625" style="232"/>
    <col min="13" max="13" width="13.4140625" style="232" customWidth="1"/>
    <col min="14" max="14" width="12.08203125" style="232" customWidth="1"/>
    <col min="15" max="15" width="14.58203125" style="232" customWidth="1"/>
    <col min="16" max="16" width="18.1640625" style="232" customWidth="1"/>
    <col min="17" max="17" width="21.6640625" style="232" customWidth="1"/>
    <col min="18" max="18" width="11.9140625" style="232" customWidth="1"/>
    <col min="19" max="21" width="8.6640625" style="232"/>
    <col min="22" max="22" width="30.9140625" style="232" customWidth="1"/>
    <col min="23" max="23" width="18.6640625" style="232" customWidth="1"/>
    <col min="24" max="24" width="19" style="232" customWidth="1"/>
    <col min="25" max="25" width="19.33203125" style="232" customWidth="1"/>
    <col min="26" max="16384" width="8.6640625" style="232"/>
  </cols>
  <sheetData>
    <row r="1" spans="1:17" ht="26">
      <c r="A1" s="282"/>
      <c r="B1" s="322" t="s">
        <v>231</v>
      </c>
      <c r="C1" s="322"/>
      <c r="D1" s="322"/>
      <c r="E1" s="322"/>
      <c r="F1" s="322"/>
      <c r="G1" s="322"/>
      <c r="H1" s="322"/>
      <c r="I1" s="322"/>
      <c r="J1" s="322"/>
      <c r="K1" s="322"/>
      <c r="L1" s="322"/>
      <c r="M1" s="322"/>
      <c r="N1" s="322"/>
      <c r="O1" s="322"/>
      <c r="P1" s="322"/>
      <c r="Q1" s="322"/>
    </row>
    <row r="4" spans="1:17" ht="21">
      <c r="B4" s="325" t="s">
        <v>232</v>
      </c>
      <c r="C4" s="325"/>
      <c r="D4" s="325"/>
      <c r="E4" s="325"/>
      <c r="F4" s="325"/>
      <c r="G4" s="325"/>
      <c r="H4" s="325"/>
      <c r="I4" s="325"/>
      <c r="J4" s="325"/>
      <c r="K4" s="280"/>
      <c r="L4" s="280"/>
      <c r="M4" s="280"/>
      <c r="N4" s="280"/>
      <c r="O4" s="280"/>
      <c r="P4" s="281"/>
      <c r="Q4" s="280"/>
    </row>
    <row r="5" spans="1:17" ht="21">
      <c r="B5" s="264" t="s">
        <v>233</v>
      </c>
      <c r="C5" s="263"/>
      <c r="D5" s="263"/>
      <c r="E5" s="263"/>
      <c r="F5" s="263"/>
      <c r="G5" s="263"/>
      <c r="H5" s="279"/>
      <c r="I5" s="279"/>
      <c r="J5" s="263"/>
      <c r="K5" s="279"/>
      <c r="L5" s="279"/>
      <c r="M5" s="279"/>
      <c r="N5" s="279"/>
      <c r="O5" s="261">
        <v>2021</v>
      </c>
      <c r="P5" s="261">
        <v>2020</v>
      </c>
      <c r="Q5" s="260"/>
    </row>
    <row r="6" spans="1:17" ht="21">
      <c r="B6" s="278" t="s">
        <v>155</v>
      </c>
      <c r="C6" s="277"/>
      <c r="D6" s="277"/>
      <c r="E6" s="277"/>
      <c r="F6" s="277"/>
      <c r="G6" s="274"/>
      <c r="H6" s="236"/>
      <c r="I6" s="236"/>
      <c r="J6" s="236"/>
      <c r="K6" s="236"/>
      <c r="L6" s="236"/>
      <c r="M6" s="236"/>
      <c r="N6" s="236"/>
      <c r="O6" s="250">
        <v>0.42302265273434519</v>
      </c>
      <c r="P6" s="276">
        <v>0.43450831953315983</v>
      </c>
      <c r="Q6" s="250">
        <f>O6-P6</f>
        <v>-1.1485666798814631E-2</v>
      </c>
    </row>
    <row r="7" spans="1:17" ht="21">
      <c r="B7" s="275" t="s">
        <v>156</v>
      </c>
      <c r="C7" s="274"/>
      <c r="D7" s="274"/>
      <c r="E7" s="274"/>
      <c r="F7" s="274"/>
      <c r="G7" s="274"/>
      <c r="H7" s="236"/>
      <c r="I7" s="236"/>
      <c r="J7" s="236"/>
      <c r="K7" s="236"/>
      <c r="L7" s="236"/>
      <c r="M7" s="236"/>
      <c r="N7" s="236"/>
      <c r="O7" s="250">
        <v>0.16592937228281596</v>
      </c>
      <c r="P7" s="276">
        <v>0.16368977209999211</v>
      </c>
      <c r="Q7" s="250">
        <f>$O$7-$P$7</f>
        <v>2.2396001828238477E-3</v>
      </c>
    </row>
    <row r="8" spans="1:17" ht="21">
      <c r="B8" s="275" t="s">
        <v>157</v>
      </c>
      <c r="C8" s="274"/>
      <c r="D8" s="274"/>
      <c r="E8" s="274"/>
      <c r="F8" s="274"/>
      <c r="G8" s="274"/>
      <c r="H8" s="236"/>
      <c r="I8" s="236"/>
      <c r="J8" s="236"/>
      <c r="K8" s="236"/>
      <c r="L8" s="236"/>
      <c r="M8" s="236"/>
      <c r="N8" s="236"/>
      <c r="O8" s="250">
        <v>0.12624895126229882</v>
      </c>
      <c r="P8" s="276">
        <v>0.1197263622742686</v>
      </c>
      <c r="Q8" s="244">
        <f>O8-P8</f>
        <v>6.5225889880302229E-3</v>
      </c>
    </row>
    <row r="9" spans="1:17" ht="21">
      <c r="B9" s="275" t="s">
        <v>234</v>
      </c>
      <c r="C9" s="274"/>
      <c r="D9" s="274"/>
      <c r="E9" s="274"/>
      <c r="F9" s="274"/>
      <c r="G9" s="274"/>
      <c r="H9" s="236"/>
      <c r="I9" s="236"/>
      <c r="J9" s="236"/>
      <c r="K9" s="236"/>
      <c r="L9" s="236"/>
      <c r="M9" s="236"/>
      <c r="N9" s="236"/>
      <c r="O9" s="273">
        <v>0.17294353796927481</v>
      </c>
      <c r="P9" s="272">
        <v>0.17640809909278263</v>
      </c>
      <c r="Q9" s="250">
        <f>O9-P9</f>
        <v>-3.46456112350782E-3</v>
      </c>
    </row>
    <row r="10" spans="1:17" ht="21">
      <c r="B10" s="271" t="s">
        <v>235</v>
      </c>
      <c r="C10" s="270"/>
      <c r="D10" s="270"/>
      <c r="E10" s="270"/>
      <c r="F10" s="270"/>
      <c r="G10" s="270"/>
      <c r="H10" s="247"/>
      <c r="I10" s="247"/>
      <c r="J10" s="247"/>
      <c r="K10" s="247"/>
      <c r="L10" s="247"/>
      <c r="M10" s="247"/>
      <c r="N10" s="249"/>
      <c r="O10" s="246">
        <v>0.35404523822255496</v>
      </c>
      <c r="P10" s="245">
        <v>0.38507386976095365</v>
      </c>
      <c r="Q10" s="244">
        <f>O10-P10</f>
        <v>-3.1028631538398688E-2</v>
      </c>
    </row>
    <row r="11" spans="1:17" ht="21">
      <c r="B11" s="243" t="s">
        <v>31</v>
      </c>
      <c r="C11" s="242"/>
      <c r="D11" s="242"/>
      <c r="E11" s="242"/>
      <c r="F11" s="242"/>
      <c r="G11" s="238"/>
      <c r="H11" s="238"/>
      <c r="I11" s="238"/>
      <c r="J11" s="238"/>
      <c r="K11" s="238"/>
      <c r="L11" s="238"/>
      <c r="M11" s="238"/>
      <c r="N11" s="238"/>
      <c r="O11" s="242"/>
      <c r="P11" s="242"/>
      <c r="Q11" s="241"/>
    </row>
    <row r="12" spans="1:17" ht="21">
      <c r="B12" s="239" t="s">
        <v>272</v>
      </c>
      <c r="C12" s="238"/>
      <c r="D12" s="238"/>
      <c r="E12" s="238"/>
      <c r="F12" s="238"/>
      <c r="G12" s="238"/>
      <c r="H12" s="238"/>
      <c r="I12" s="238"/>
      <c r="J12" s="238"/>
      <c r="K12" s="238"/>
      <c r="L12" s="238"/>
      <c r="M12" s="238"/>
      <c r="N12" s="238"/>
      <c r="O12" s="238"/>
      <c r="P12" s="238"/>
      <c r="Q12" s="237"/>
    </row>
    <row r="13" spans="1:17" ht="21">
      <c r="B13" s="240" t="s">
        <v>271</v>
      </c>
      <c r="C13" s="238"/>
      <c r="D13" s="238"/>
      <c r="E13" s="238"/>
      <c r="F13" s="238"/>
      <c r="G13" s="238"/>
      <c r="H13" s="238"/>
      <c r="I13" s="238"/>
      <c r="J13" s="238"/>
      <c r="K13" s="238"/>
      <c r="L13" s="238"/>
      <c r="M13" s="238"/>
      <c r="N13" s="238"/>
      <c r="O13" s="238"/>
      <c r="P13" s="238"/>
      <c r="Q13" s="237"/>
    </row>
    <row r="14" spans="1:17" ht="21">
      <c r="B14" s="239" t="s">
        <v>270</v>
      </c>
      <c r="C14" s="238"/>
      <c r="D14" s="238"/>
      <c r="E14" s="238"/>
      <c r="F14" s="238"/>
      <c r="G14" s="238"/>
      <c r="H14" s="238"/>
      <c r="I14" s="238"/>
      <c r="J14" s="238"/>
      <c r="K14" s="238"/>
      <c r="L14" s="238"/>
      <c r="M14" s="238"/>
      <c r="N14" s="238"/>
      <c r="O14" s="238"/>
      <c r="P14" s="238"/>
      <c r="Q14" s="237"/>
    </row>
    <row r="15" spans="1:17" ht="21">
      <c r="B15" s="239" t="s">
        <v>269</v>
      </c>
      <c r="C15" s="238"/>
      <c r="D15" s="238"/>
      <c r="E15" s="238"/>
      <c r="F15" s="238"/>
      <c r="G15" s="238"/>
      <c r="H15" s="238"/>
      <c r="I15" s="238"/>
      <c r="J15" s="238"/>
      <c r="K15" s="238"/>
      <c r="L15" s="238"/>
      <c r="M15" s="238"/>
      <c r="N15" s="238"/>
      <c r="O15" s="238"/>
      <c r="P15" s="238"/>
      <c r="Q15" s="237"/>
    </row>
    <row r="16" spans="1:17" ht="21">
      <c r="B16" s="239" t="s">
        <v>268</v>
      </c>
      <c r="C16" s="238"/>
      <c r="D16" s="238"/>
      <c r="E16" s="238"/>
      <c r="F16" s="238"/>
      <c r="G16" s="238"/>
      <c r="H16" s="238"/>
      <c r="I16" s="238"/>
      <c r="J16" s="238"/>
      <c r="K16" s="238"/>
      <c r="L16" s="238"/>
      <c r="M16" s="238"/>
      <c r="N16" s="238"/>
      <c r="O16" s="238"/>
      <c r="P16" s="238"/>
      <c r="Q16" s="237"/>
    </row>
    <row r="17" spans="2:20" ht="21">
      <c r="B17" s="269"/>
      <c r="C17" s="234"/>
      <c r="D17" s="234"/>
      <c r="E17" s="234"/>
      <c r="F17" s="234"/>
      <c r="G17" s="234"/>
      <c r="H17" s="234"/>
      <c r="I17" s="234"/>
      <c r="J17" s="234"/>
      <c r="K17" s="234"/>
      <c r="L17" s="234"/>
      <c r="M17" s="234"/>
      <c r="N17" s="234"/>
      <c r="O17" s="234"/>
      <c r="P17" s="234"/>
      <c r="Q17" s="233"/>
    </row>
    <row r="20" spans="2:20" ht="21">
      <c r="B20" s="268" t="s">
        <v>236</v>
      </c>
      <c r="C20" s="268"/>
      <c r="D20" s="268"/>
      <c r="E20" s="268"/>
      <c r="F20" s="268"/>
      <c r="G20" s="268"/>
      <c r="H20" s="268"/>
      <c r="I20" s="268"/>
      <c r="J20" s="268"/>
      <c r="K20" s="236"/>
      <c r="L20" s="267" t="s">
        <v>237</v>
      </c>
      <c r="M20" s="267"/>
      <c r="N20" s="267"/>
      <c r="O20" s="267"/>
      <c r="P20" s="267"/>
      <c r="Q20" s="267"/>
      <c r="S20" s="266"/>
      <c r="T20" s="266"/>
    </row>
    <row r="21" spans="2:20" ht="21">
      <c r="B21" s="264" t="s">
        <v>233</v>
      </c>
      <c r="C21" s="263"/>
      <c r="D21" s="263"/>
      <c r="E21" s="263"/>
      <c r="F21" s="263"/>
      <c r="G21" s="265"/>
      <c r="H21" s="262">
        <v>2021</v>
      </c>
      <c r="I21" s="261">
        <v>2020</v>
      </c>
      <c r="J21" s="260"/>
      <c r="K21" s="236"/>
      <c r="L21" s="264" t="s">
        <v>233</v>
      </c>
      <c r="M21" s="263"/>
      <c r="N21" s="263"/>
      <c r="O21" s="262">
        <v>2021</v>
      </c>
      <c r="P21" s="261">
        <v>2020</v>
      </c>
      <c r="Q21" s="260"/>
    </row>
    <row r="22" spans="2:20" ht="21">
      <c r="B22" s="259" t="s">
        <v>238</v>
      </c>
      <c r="C22" s="236"/>
      <c r="D22" s="236"/>
      <c r="E22" s="236"/>
      <c r="F22" s="236"/>
      <c r="G22" s="255"/>
      <c r="H22" s="254">
        <v>55</v>
      </c>
      <c r="I22" s="251">
        <v>55</v>
      </c>
      <c r="J22" s="254">
        <f>H22-I22</f>
        <v>0</v>
      </c>
      <c r="K22" s="236"/>
      <c r="L22" s="259" t="s">
        <v>239</v>
      </c>
      <c r="M22" s="236"/>
      <c r="N22" s="236"/>
      <c r="O22" s="254">
        <v>0.70227621276939223</v>
      </c>
      <c r="P22" s="251">
        <v>0.78462509712509709</v>
      </c>
      <c r="Q22" s="250">
        <f>O22-P22</f>
        <v>-8.2348884355704866E-2</v>
      </c>
    </row>
    <row r="23" spans="2:20" ht="21">
      <c r="B23" s="253" t="s">
        <v>240</v>
      </c>
      <c r="C23" s="236"/>
      <c r="D23" s="236"/>
      <c r="E23" s="236"/>
      <c r="F23" s="236"/>
      <c r="G23" s="255"/>
      <c r="H23" s="254">
        <v>36</v>
      </c>
      <c r="I23" s="251">
        <v>42</v>
      </c>
      <c r="J23" s="254">
        <f>H23-I23</f>
        <v>-6</v>
      </c>
      <c r="K23" s="236"/>
      <c r="L23" s="253" t="s">
        <v>241</v>
      </c>
      <c r="M23" s="236"/>
      <c r="N23" s="236"/>
      <c r="O23" s="254">
        <v>1.1587663324217563</v>
      </c>
      <c r="P23" s="251">
        <v>1.2939110733503256</v>
      </c>
      <c r="Q23" s="254">
        <f>O23-P23</f>
        <v>-0.13514474092856932</v>
      </c>
    </row>
    <row r="24" spans="2:20" ht="21">
      <c r="B24" s="253" t="s">
        <v>242</v>
      </c>
      <c r="C24" s="236"/>
      <c r="D24" s="236"/>
      <c r="E24" s="236"/>
      <c r="F24" s="236"/>
      <c r="G24" s="255"/>
      <c r="H24" s="258">
        <v>175</v>
      </c>
      <c r="I24" s="257">
        <v>177</v>
      </c>
      <c r="J24" s="254">
        <f>H24-I24</f>
        <v>-2</v>
      </c>
      <c r="K24" s="236"/>
      <c r="L24" s="253" t="s">
        <v>243</v>
      </c>
      <c r="M24" s="236"/>
      <c r="N24" s="236"/>
      <c r="O24" s="254">
        <v>24.581920903954803</v>
      </c>
      <c r="P24" s="256">
        <v>16.441584158415843</v>
      </c>
      <c r="Q24" s="254">
        <f>O24-P24</f>
        <v>8.1403367455389599</v>
      </c>
    </row>
    <row r="25" spans="2:20" ht="21">
      <c r="B25" s="253" t="s">
        <v>244</v>
      </c>
      <c r="C25" s="236"/>
      <c r="D25" s="236"/>
      <c r="E25" s="236"/>
      <c r="F25" s="236"/>
      <c r="G25" s="255"/>
      <c r="H25" s="252">
        <v>0.73</v>
      </c>
      <c r="I25" s="251">
        <v>0.77</v>
      </c>
      <c r="J25" s="254">
        <f>H25-I25</f>
        <v>-4.0000000000000036E-2</v>
      </c>
      <c r="K25" s="236"/>
      <c r="L25" s="253"/>
      <c r="M25" s="236"/>
      <c r="N25" s="236"/>
      <c r="O25" s="252"/>
      <c r="P25" s="251"/>
      <c r="Q25" s="250"/>
    </row>
    <row r="26" spans="2:20" ht="21">
      <c r="B26" s="248"/>
      <c r="C26" s="247"/>
      <c r="D26" s="247"/>
      <c r="E26" s="247"/>
      <c r="F26" s="247"/>
      <c r="G26" s="249"/>
      <c r="H26" s="246"/>
      <c r="I26" s="245"/>
      <c r="J26" s="244"/>
      <c r="K26" s="236"/>
      <c r="L26" s="248"/>
      <c r="M26" s="247"/>
      <c r="N26" s="236"/>
      <c r="O26" s="246"/>
      <c r="P26" s="245"/>
      <c r="Q26" s="244"/>
    </row>
    <row r="27" spans="2:20" ht="21">
      <c r="B27" s="243" t="s">
        <v>31</v>
      </c>
      <c r="C27" s="242"/>
      <c r="D27" s="242"/>
      <c r="E27" s="242"/>
      <c r="F27" s="242"/>
      <c r="G27" s="242"/>
      <c r="H27" s="242"/>
      <c r="I27" s="242"/>
      <c r="J27" s="241"/>
      <c r="K27" s="236"/>
      <c r="L27" s="243" t="s">
        <v>31</v>
      </c>
      <c r="M27" s="242"/>
      <c r="N27" s="242"/>
      <c r="O27" s="242"/>
      <c r="P27" s="242"/>
      <c r="Q27" s="241"/>
    </row>
    <row r="28" spans="2:20" ht="21">
      <c r="B28" s="239" t="s">
        <v>267</v>
      </c>
      <c r="C28" s="238"/>
      <c r="D28" s="238"/>
      <c r="E28" s="238"/>
      <c r="F28" s="238"/>
      <c r="G28" s="238"/>
      <c r="H28" s="238"/>
      <c r="I28" s="238"/>
      <c r="J28" s="237"/>
      <c r="K28" s="236"/>
      <c r="L28" s="239" t="s">
        <v>266</v>
      </c>
      <c r="M28" s="238"/>
      <c r="N28" s="238"/>
      <c r="O28" s="238"/>
      <c r="P28" s="238"/>
      <c r="Q28" s="237"/>
    </row>
    <row r="29" spans="2:20" ht="21">
      <c r="B29" s="240" t="s">
        <v>265</v>
      </c>
      <c r="C29" s="238"/>
      <c r="D29" s="238"/>
      <c r="E29" s="238"/>
      <c r="F29" s="238"/>
      <c r="G29" s="238"/>
      <c r="H29" s="238"/>
      <c r="I29" s="238"/>
      <c r="J29" s="237"/>
      <c r="K29" s="236"/>
      <c r="L29" s="240" t="s">
        <v>264</v>
      </c>
      <c r="M29" s="238"/>
      <c r="N29" s="238"/>
      <c r="O29" s="238"/>
      <c r="P29" s="238"/>
      <c r="Q29" s="237"/>
    </row>
    <row r="30" spans="2:20" ht="21">
      <c r="B30" s="239" t="s">
        <v>263</v>
      </c>
      <c r="C30" s="238"/>
      <c r="D30" s="238"/>
      <c r="E30" s="238"/>
      <c r="F30" s="238"/>
      <c r="G30" s="238"/>
      <c r="H30" s="238"/>
      <c r="I30" s="238"/>
      <c r="J30" s="237"/>
      <c r="K30" s="236"/>
      <c r="L30" s="239" t="s">
        <v>262</v>
      </c>
      <c r="M30" s="238"/>
      <c r="N30" s="238"/>
      <c r="O30" s="238"/>
      <c r="P30" s="238"/>
      <c r="Q30" s="237"/>
    </row>
    <row r="31" spans="2:20" ht="21">
      <c r="B31" s="239" t="s">
        <v>261</v>
      </c>
      <c r="C31" s="238"/>
      <c r="D31" s="238"/>
      <c r="E31" s="238"/>
      <c r="F31" s="238"/>
      <c r="G31" s="238"/>
      <c r="H31" s="238"/>
      <c r="I31" s="238"/>
      <c r="J31" s="237"/>
      <c r="K31" s="236"/>
      <c r="L31" s="239"/>
      <c r="M31" s="238"/>
      <c r="N31" s="238"/>
      <c r="O31" s="238"/>
      <c r="P31" s="238"/>
      <c r="Q31" s="237"/>
    </row>
    <row r="32" spans="2:20" ht="21">
      <c r="B32" s="235"/>
      <c r="C32" s="234"/>
      <c r="D32" s="234"/>
      <c r="E32" s="234"/>
      <c r="F32" s="234"/>
      <c r="G32" s="234"/>
      <c r="H32" s="234"/>
      <c r="I32" s="234"/>
      <c r="J32" s="233"/>
      <c r="K32" s="236"/>
      <c r="L32" s="235"/>
      <c r="M32" s="234"/>
      <c r="N32" s="234"/>
      <c r="O32" s="234"/>
      <c r="P32" s="234"/>
      <c r="Q32" s="233"/>
    </row>
    <row r="34" spans="4:16" ht="21">
      <c r="D34" s="323" t="s">
        <v>245</v>
      </c>
      <c r="E34" s="323"/>
      <c r="F34" s="323"/>
      <c r="G34" s="323"/>
      <c r="H34" s="323"/>
      <c r="I34" s="323"/>
      <c r="J34" s="323"/>
      <c r="K34" s="323"/>
      <c r="L34" s="323"/>
      <c r="M34" s="323"/>
      <c r="N34" s="323"/>
      <c r="O34" s="323"/>
    </row>
    <row r="35" spans="4:16">
      <c r="E35" s="324"/>
      <c r="F35" s="324"/>
      <c r="G35" s="324"/>
      <c r="H35" s="324"/>
      <c r="I35" s="324"/>
      <c r="J35" s="324"/>
      <c r="K35" s="324"/>
      <c r="L35" s="324"/>
      <c r="M35" s="324"/>
      <c r="N35" s="324"/>
      <c r="O35" s="324"/>
      <c r="P35" s="324"/>
    </row>
    <row r="36" spans="4:16">
      <c r="E36" s="324"/>
      <c r="F36" s="324"/>
      <c r="G36" s="324"/>
      <c r="H36" s="324"/>
      <c r="I36" s="324"/>
      <c r="J36" s="324"/>
      <c r="K36" s="324"/>
      <c r="L36" s="324"/>
      <c r="M36" s="324"/>
      <c r="N36" s="324"/>
      <c r="O36" s="324"/>
      <c r="P36" s="324"/>
    </row>
    <row r="37" spans="4:16">
      <c r="E37" s="324"/>
      <c r="F37" s="324"/>
      <c r="G37" s="324"/>
      <c r="H37" s="324"/>
      <c r="I37" s="324"/>
      <c r="J37" s="324"/>
      <c r="K37" s="324"/>
      <c r="L37" s="324"/>
      <c r="M37" s="324"/>
      <c r="N37" s="324"/>
      <c r="O37" s="324"/>
      <c r="P37" s="324"/>
    </row>
    <row r="38" spans="4:16">
      <c r="E38" s="324"/>
      <c r="F38" s="324"/>
      <c r="G38" s="324"/>
      <c r="H38" s="324"/>
      <c r="I38" s="324"/>
      <c r="J38" s="324"/>
      <c r="K38" s="324"/>
      <c r="L38" s="324"/>
      <c r="M38" s="324"/>
      <c r="N38" s="324"/>
      <c r="O38" s="324"/>
      <c r="P38" s="324"/>
    </row>
  </sheetData>
  <mergeCells count="4">
    <mergeCell ref="B1:Q1"/>
    <mergeCell ref="D34:O34"/>
    <mergeCell ref="E35:P38"/>
    <mergeCell ref="B4:J4"/>
  </mergeCells>
  <pageMargins left="0.7" right="0.7" top="0.75" bottom="0.75" header="0.3" footer="0.3"/>
  <pageSetup scale="5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561B-231A-49B0-B4AC-2FCC865831D0}">
  <sheetPr>
    <pageSetUpPr fitToPage="1"/>
  </sheetPr>
  <dimension ref="A1:P33"/>
  <sheetViews>
    <sheetView showGridLines="0" tabSelected="1" zoomScale="42" zoomScaleNormal="130" workbookViewId="0">
      <selection sqref="A1:I45"/>
    </sheetView>
  </sheetViews>
  <sheetFormatPr defaultRowHeight="15.5"/>
  <cols>
    <col min="1" max="13" width="13.58203125" style="283" customWidth="1"/>
    <col min="14" max="16" width="8.58203125" style="283" customWidth="1"/>
    <col min="17" max="16384" width="8.6640625" style="283"/>
  </cols>
  <sheetData>
    <row r="1" spans="1:16" ht="61.5" customHeight="1">
      <c r="A1" s="291" t="s">
        <v>273</v>
      </c>
      <c r="B1" s="292"/>
      <c r="C1" s="292"/>
      <c r="D1" s="292"/>
      <c r="E1" s="292"/>
      <c r="F1" s="292"/>
      <c r="G1" s="292"/>
      <c r="H1" s="292"/>
      <c r="I1" s="292"/>
      <c r="J1" s="292"/>
      <c r="K1" s="292"/>
      <c r="L1" s="292"/>
      <c r="M1" s="292"/>
      <c r="N1" s="292"/>
      <c r="O1" s="290"/>
      <c r="P1" s="290"/>
    </row>
    <row r="2" spans="1:16">
      <c r="A2" s="289"/>
    </row>
    <row r="12" spans="1:16">
      <c r="A12" s="288"/>
      <c r="B12" s="288"/>
      <c r="C12" s="288"/>
    </row>
    <row r="13" spans="1:16">
      <c r="A13" s="287"/>
      <c r="B13" s="286"/>
      <c r="C13" s="286"/>
    </row>
    <row r="14" spans="1:16">
      <c r="A14" s="287"/>
      <c r="B14" s="286"/>
      <c r="C14" s="286"/>
    </row>
    <row r="15" spans="1:16">
      <c r="A15" s="287"/>
      <c r="B15" s="286"/>
      <c r="C15" s="286"/>
    </row>
    <row r="26" spans="1:14">
      <c r="A26" s="284"/>
      <c r="B26" s="284"/>
      <c r="C26" s="284"/>
      <c r="D26" s="284"/>
      <c r="E26" s="284"/>
    </row>
    <row r="28" spans="1:14">
      <c r="A28" s="293" t="s">
        <v>246</v>
      </c>
      <c r="B28" s="293"/>
      <c r="C28" s="293"/>
      <c r="D28" s="293"/>
      <c r="E28" s="293"/>
      <c r="F28" s="293"/>
      <c r="G28" s="293"/>
      <c r="H28" s="293" t="s">
        <v>247</v>
      </c>
      <c r="I28" s="293"/>
      <c r="J28" s="293"/>
      <c r="K28" s="293"/>
      <c r="L28" s="293"/>
      <c r="M28" s="293"/>
      <c r="N28" s="293"/>
    </row>
    <row r="29" spans="1:14">
      <c r="A29" s="285"/>
      <c r="B29" s="285"/>
      <c r="C29" s="285"/>
      <c r="D29" s="285"/>
      <c r="E29" s="285"/>
      <c r="F29" s="285"/>
      <c r="G29" s="285"/>
      <c r="H29" s="285"/>
      <c r="I29" s="285"/>
      <c r="J29" s="285"/>
      <c r="K29" s="285"/>
      <c r="L29" s="285"/>
      <c r="M29" s="285"/>
      <c r="N29" s="285"/>
    </row>
    <row r="30" spans="1:14">
      <c r="A30" s="285"/>
      <c r="B30" s="285"/>
      <c r="C30" s="285"/>
      <c r="D30" s="285"/>
      <c r="E30" s="285"/>
      <c r="F30" s="285"/>
      <c r="G30" s="285"/>
      <c r="H30" s="285"/>
      <c r="I30" s="285"/>
      <c r="J30" s="285"/>
      <c r="K30" s="285"/>
      <c r="L30" s="285"/>
      <c r="M30" s="285"/>
      <c r="N30" s="285"/>
    </row>
    <row r="33" spans="1:1">
      <c r="A33" s="284"/>
    </row>
  </sheetData>
  <mergeCells count="3">
    <mergeCell ref="A1:N1"/>
    <mergeCell ref="H28:N28"/>
    <mergeCell ref="A28:G28"/>
  </mergeCells>
  <pageMargins left="0.7" right="0.7" top="0.75" bottom="0.75" header="0.3" footer="0.3"/>
  <pageSetup scale="43" orientation="portrait"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COVER PAGE</vt:lpstr>
      <vt:lpstr>METHODOLOGY</vt:lpstr>
      <vt:lpstr>Financial Statement</vt:lpstr>
      <vt:lpstr>Common Size Financial Statement</vt:lpstr>
      <vt:lpstr>Ratios Analysis</vt:lpstr>
      <vt:lpstr>Ratio Analysis &amp; Interpretation</vt:lpstr>
      <vt:lpstr>Unilever Financial Performance </vt:lpstr>
      <vt:lpstr>'Common Size Financial Statement'!Print_Area</vt:lpstr>
      <vt:lpstr>'COVER PAGE'!Print_Area</vt:lpstr>
      <vt:lpstr>'Financial Statement'!Print_Area</vt:lpstr>
      <vt:lpstr>METHODOLOGY!Print_Area</vt:lpstr>
      <vt:lpstr>'Ratio Analysis &amp; Interpretation'!Print_Area</vt:lpstr>
      <vt:lpstr>'Ratios Analysis'!Print_Area</vt:lpstr>
      <vt:lpstr>'Unilever Financial Performance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AYUSH JAGTAP</cp:lastModifiedBy>
  <cp:lastPrinted>2026-10-02T11:52:42Z</cp:lastPrinted>
  <dcterms:modified xsi:type="dcterms:W3CDTF">2026-10-02T11:52:45Z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2023-08-08T11:56:51Z</dcterms:created>
  <dc:creator>Microsoft Office User</dc:creator>
  <dc:description/>
  <dc:language>en-US</dc:language>
  <cp:lastModifiedBy>AYUSH JAGTAP</cp:lastModifiedBy>
  <cp:lastPrinted>2026-02-18T19:41:45Z</cp:lastPrinted>
  <dcterms:modified xsi:type="dcterms:W3CDTF">2026-10-02T10:55:56Z</dcterms:modified>
  <cp:revision>0</cp:revision>
  <dc:subject/>
  <dc:title/>
</cp:coreProperties>
</file>